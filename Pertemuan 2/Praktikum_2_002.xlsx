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ipr\Documents\KULIAH\Semester 4\Anreg\Praktikum 2\"/>
    </mc:Choice>
  </mc:AlternateContent>
  <xr:revisionPtr revIDLastSave="0" documentId="13_ncr:1_{3E437E81-B6A9-47E0-8065-34BCEC49CDAE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Sheet2" sheetId="6" r:id="rId1"/>
    <sheet name="Sheet1" sheetId="1" r:id="rId2"/>
    <sheet name="Perhitungan Dugaan Persamaan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1" i="7" l="1"/>
  <c r="I3" i="7" s="1"/>
  <c r="F120" i="7"/>
  <c r="C3" i="7" l="1"/>
  <c r="C4" i="7"/>
  <c r="C7" i="7"/>
  <c r="C8" i="7"/>
  <c r="C21" i="7"/>
  <c r="C22" i="7"/>
  <c r="C23" i="7"/>
  <c r="C24" i="7"/>
  <c r="C37" i="7"/>
  <c r="C38" i="7"/>
  <c r="C39" i="7"/>
  <c r="C44" i="7"/>
  <c r="C55" i="7"/>
  <c r="C58" i="7"/>
  <c r="C59" i="7"/>
  <c r="C60" i="7"/>
  <c r="C73" i="7"/>
  <c r="C74" i="7"/>
  <c r="C75" i="7"/>
  <c r="C76" i="7"/>
  <c r="C91" i="7"/>
  <c r="C92" i="7"/>
  <c r="C93" i="7"/>
  <c r="C94" i="7"/>
  <c r="C107" i="7"/>
  <c r="C108" i="7"/>
  <c r="C109" i="7"/>
  <c r="C110" i="7"/>
  <c r="I2" i="7"/>
  <c r="C48" i="7" s="1"/>
  <c r="B121" i="7"/>
  <c r="I1" i="7" s="1"/>
  <c r="A121" i="7"/>
  <c r="E44" i="7" l="1"/>
  <c r="E37" i="7"/>
  <c r="E23" i="7"/>
  <c r="E60" i="7"/>
  <c r="E38" i="7"/>
  <c r="D4" i="7"/>
  <c r="F4" i="7" s="1"/>
  <c r="D16" i="7"/>
  <c r="F16" i="7" s="1"/>
  <c r="D28" i="7"/>
  <c r="F28" i="7" s="1"/>
  <c r="D40" i="7"/>
  <c r="F40" i="7" s="1"/>
  <c r="D52" i="7"/>
  <c r="F52" i="7" s="1"/>
  <c r="D64" i="7"/>
  <c r="F64" i="7" s="1"/>
  <c r="D76" i="7"/>
  <c r="F76" i="7" s="1"/>
  <c r="D88" i="7"/>
  <c r="F88" i="7" s="1"/>
  <c r="D100" i="7"/>
  <c r="F100" i="7" s="1"/>
  <c r="D112" i="7"/>
  <c r="F112" i="7" s="1"/>
  <c r="D5" i="7"/>
  <c r="F5" i="7" s="1"/>
  <c r="D17" i="7"/>
  <c r="F17" i="7" s="1"/>
  <c r="D29" i="7"/>
  <c r="F29" i="7" s="1"/>
  <c r="D41" i="7"/>
  <c r="F41" i="7" s="1"/>
  <c r="D53" i="7"/>
  <c r="F53" i="7" s="1"/>
  <c r="D65" i="7"/>
  <c r="F65" i="7" s="1"/>
  <c r="D77" i="7"/>
  <c r="F77" i="7" s="1"/>
  <c r="D89" i="7"/>
  <c r="F89" i="7" s="1"/>
  <c r="D101" i="7"/>
  <c r="F101" i="7" s="1"/>
  <c r="D113" i="7"/>
  <c r="F113" i="7" s="1"/>
  <c r="D15" i="7"/>
  <c r="F15" i="7" s="1"/>
  <c r="D31" i="7"/>
  <c r="F31" i="7" s="1"/>
  <c r="D45" i="7"/>
  <c r="F45" i="7" s="1"/>
  <c r="D59" i="7"/>
  <c r="F59" i="7" s="1"/>
  <c r="D73" i="7"/>
  <c r="F73" i="7" s="1"/>
  <c r="D87" i="7"/>
  <c r="F87" i="7" s="1"/>
  <c r="D103" i="7"/>
  <c r="F103" i="7" s="1"/>
  <c r="D117" i="7"/>
  <c r="F117" i="7" s="1"/>
  <c r="D18" i="7"/>
  <c r="F18" i="7" s="1"/>
  <c r="D32" i="7"/>
  <c r="F32" i="7" s="1"/>
  <c r="D46" i="7"/>
  <c r="F46" i="7" s="1"/>
  <c r="D60" i="7"/>
  <c r="F60" i="7" s="1"/>
  <c r="D74" i="7"/>
  <c r="F74" i="7" s="1"/>
  <c r="D90" i="7"/>
  <c r="F90" i="7" s="1"/>
  <c r="D104" i="7"/>
  <c r="F104" i="7" s="1"/>
  <c r="D118" i="7"/>
  <c r="F118" i="7" s="1"/>
  <c r="D3" i="7"/>
  <c r="F3" i="7" s="1"/>
  <c r="D19" i="7"/>
  <c r="F19" i="7" s="1"/>
  <c r="D33" i="7"/>
  <c r="F33" i="7" s="1"/>
  <c r="D6" i="7"/>
  <c r="F6" i="7" s="1"/>
  <c r="D23" i="7"/>
  <c r="F23" i="7" s="1"/>
  <c r="D42" i="7"/>
  <c r="F42" i="7" s="1"/>
  <c r="D58" i="7"/>
  <c r="F58" i="7" s="1"/>
  <c r="D78" i="7"/>
  <c r="F78" i="7" s="1"/>
  <c r="D94" i="7"/>
  <c r="F94" i="7" s="1"/>
  <c r="D110" i="7"/>
  <c r="F110" i="7" s="1"/>
  <c r="D24" i="7"/>
  <c r="F24" i="7" s="1"/>
  <c r="D61" i="7"/>
  <c r="F61" i="7" s="1"/>
  <c r="D95" i="7"/>
  <c r="F95" i="7" s="1"/>
  <c r="D8" i="7"/>
  <c r="F8" i="7" s="1"/>
  <c r="D44" i="7"/>
  <c r="F44" i="7" s="1"/>
  <c r="D80" i="7"/>
  <c r="F80" i="7" s="1"/>
  <c r="D114" i="7"/>
  <c r="F114" i="7" s="1"/>
  <c r="D9" i="7"/>
  <c r="F9" i="7" s="1"/>
  <c r="D47" i="7"/>
  <c r="F47" i="7" s="1"/>
  <c r="D81" i="7"/>
  <c r="F81" i="7" s="1"/>
  <c r="D115" i="7"/>
  <c r="F115" i="7" s="1"/>
  <c r="D27" i="7"/>
  <c r="F27" i="7" s="1"/>
  <c r="D66" i="7"/>
  <c r="F66" i="7" s="1"/>
  <c r="D98" i="7"/>
  <c r="F98" i="7" s="1"/>
  <c r="D11" i="7"/>
  <c r="F11" i="7" s="1"/>
  <c r="D49" i="7"/>
  <c r="F49" i="7" s="1"/>
  <c r="D83" i="7"/>
  <c r="F83" i="7" s="1"/>
  <c r="D119" i="7"/>
  <c r="F119" i="7" s="1"/>
  <c r="D50" i="7"/>
  <c r="F50" i="7" s="1"/>
  <c r="D84" i="7"/>
  <c r="F84" i="7" s="1"/>
  <c r="D120" i="7"/>
  <c r="D35" i="7"/>
  <c r="F35" i="7" s="1"/>
  <c r="D85" i="7"/>
  <c r="F85" i="7" s="1"/>
  <c r="D54" i="7"/>
  <c r="F54" i="7" s="1"/>
  <c r="D106" i="7"/>
  <c r="F106" i="7" s="1"/>
  <c r="D37" i="7"/>
  <c r="F37" i="7" s="1"/>
  <c r="D107" i="7"/>
  <c r="F107" i="7" s="1"/>
  <c r="D21" i="7"/>
  <c r="F21" i="7" s="1"/>
  <c r="D56" i="7"/>
  <c r="F56" i="7" s="1"/>
  <c r="D92" i="7"/>
  <c r="F92" i="7" s="1"/>
  <c r="D39" i="7"/>
  <c r="F39" i="7" s="1"/>
  <c r="D93" i="7"/>
  <c r="F93" i="7" s="1"/>
  <c r="D7" i="7"/>
  <c r="F7" i="7" s="1"/>
  <c r="D43" i="7"/>
  <c r="F43" i="7" s="1"/>
  <c r="D79" i="7"/>
  <c r="F79" i="7" s="1"/>
  <c r="D111" i="7"/>
  <c r="F111" i="7" s="1"/>
  <c r="D25" i="7"/>
  <c r="F25" i="7" s="1"/>
  <c r="D62" i="7"/>
  <c r="F62" i="7" s="1"/>
  <c r="D96" i="7"/>
  <c r="F96" i="7" s="1"/>
  <c r="D26" i="7"/>
  <c r="F26" i="7" s="1"/>
  <c r="D63" i="7"/>
  <c r="F63" i="7" s="1"/>
  <c r="D97" i="7"/>
  <c r="F97" i="7" s="1"/>
  <c r="D10" i="7"/>
  <c r="F10" i="7" s="1"/>
  <c r="D48" i="7"/>
  <c r="F48" i="7" s="1"/>
  <c r="D82" i="7"/>
  <c r="F82" i="7" s="1"/>
  <c r="D116" i="7"/>
  <c r="F116" i="7" s="1"/>
  <c r="D30" i="7"/>
  <c r="F30" i="7" s="1"/>
  <c r="D67" i="7"/>
  <c r="F67" i="7" s="1"/>
  <c r="D99" i="7"/>
  <c r="F99" i="7" s="1"/>
  <c r="D34" i="7"/>
  <c r="F34" i="7" s="1"/>
  <c r="D68" i="7"/>
  <c r="F68" i="7" s="1"/>
  <c r="D13" i="7"/>
  <c r="F13" i="7" s="1"/>
  <c r="D69" i="7"/>
  <c r="F69" i="7" s="1"/>
  <c r="D2" i="7"/>
  <c r="F2" i="7" s="1"/>
  <c r="D36" i="7"/>
  <c r="F36" i="7" s="1"/>
  <c r="D86" i="7"/>
  <c r="F86" i="7" s="1"/>
  <c r="D55" i="7"/>
  <c r="F55" i="7" s="1"/>
  <c r="D91" i="7"/>
  <c r="F91" i="7" s="1"/>
  <c r="D38" i="7"/>
  <c r="F38" i="7" s="1"/>
  <c r="D72" i="7"/>
  <c r="F72" i="7" s="1"/>
  <c r="D108" i="7"/>
  <c r="F108" i="7" s="1"/>
  <c r="D22" i="7"/>
  <c r="F22" i="7" s="1"/>
  <c r="D75" i="7"/>
  <c r="F75" i="7" s="1"/>
  <c r="D12" i="7"/>
  <c r="F12" i="7" s="1"/>
  <c r="D102" i="7"/>
  <c r="F102" i="7" s="1"/>
  <c r="D51" i="7"/>
  <c r="F51" i="7" s="1"/>
  <c r="D105" i="7"/>
  <c r="F105" i="7" s="1"/>
  <c r="D14" i="7"/>
  <c r="F14" i="7" s="1"/>
  <c r="D70" i="7"/>
  <c r="F70" i="7" s="1"/>
  <c r="D20" i="7"/>
  <c r="F20" i="7" s="1"/>
  <c r="D71" i="7"/>
  <c r="F71" i="7" s="1"/>
  <c r="D57" i="7"/>
  <c r="F57" i="7" s="1"/>
  <c r="D109" i="7"/>
  <c r="F109" i="7" s="1"/>
  <c r="E73" i="7"/>
  <c r="E4" i="7"/>
  <c r="E3" i="7"/>
  <c r="C88" i="7"/>
  <c r="C36" i="7"/>
  <c r="E36" i="7" s="1"/>
  <c r="C87" i="7"/>
  <c r="E87" i="7" s="1"/>
  <c r="C35" i="7"/>
  <c r="E35" i="7" s="1"/>
  <c r="C34" i="7"/>
  <c r="E34" i="7" s="1"/>
  <c r="E94" i="7"/>
  <c r="E8" i="7"/>
  <c r="E107" i="7"/>
  <c r="E21" i="7"/>
  <c r="C5" i="7"/>
  <c r="C17" i="7"/>
  <c r="E17" i="7" s="1"/>
  <c r="C29" i="7"/>
  <c r="E29" i="7" s="1"/>
  <c r="C41" i="7"/>
  <c r="E41" i="7" s="1"/>
  <c r="C53" i="7"/>
  <c r="E53" i="7" s="1"/>
  <c r="C65" i="7"/>
  <c r="E65" i="7" s="1"/>
  <c r="C77" i="7"/>
  <c r="C89" i="7"/>
  <c r="C101" i="7"/>
  <c r="C113" i="7"/>
  <c r="C6" i="7"/>
  <c r="E6" i="7" s="1"/>
  <c r="C18" i="7"/>
  <c r="E18" i="7" s="1"/>
  <c r="C30" i="7"/>
  <c r="C42" i="7"/>
  <c r="E42" i="7" s="1"/>
  <c r="C54" i="7"/>
  <c r="C66" i="7"/>
  <c r="C78" i="7"/>
  <c r="E78" i="7" s="1"/>
  <c r="C90" i="7"/>
  <c r="E90" i="7" s="1"/>
  <c r="C102" i="7"/>
  <c r="E102" i="7" s="1"/>
  <c r="C114" i="7"/>
  <c r="C12" i="7"/>
  <c r="E12" i="7" s="1"/>
  <c r="C26" i="7"/>
  <c r="E26" i="7" s="1"/>
  <c r="C40" i="7"/>
  <c r="E40" i="7" s="1"/>
  <c r="C56" i="7"/>
  <c r="E56" i="7" s="1"/>
  <c r="C70" i="7"/>
  <c r="C84" i="7"/>
  <c r="E84" i="7" s="1"/>
  <c r="C98" i="7"/>
  <c r="E98" i="7" s="1"/>
  <c r="C112" i="7"/>
  <c r="C13" i="7"/>
  <c r="E13" i="7" s="1"/>
  <c r="C27" i="7"/>
  <c r="E27" i="7" s="1"/>
  <c r="C43" i="7"/>
  <c r="C57" i="7"/>
  <c r="C71" i="7"/>
  <c r="C85" i="7"/>
  <c r="C99" i="7"/>
  <c r="C115" i="7"/>
  <c r="C72" i="7"/>
  <c r="C2" i="7"/>
  <c r="E2" i="7" s="1"/>
  <c r="C69" i="7"/>
  <c r="E69" i="7" s="1"/>
  <c r="C19" i="7"/>
  <c r="E19" i="7" s="1"/>
  <c r="C104" i="7"/>
  <c r="C68" i="7"/>
  <c r="E68" i="7" s="1"/>
  <c r="C16" i="7"/>
  <c r="E16" i="7" s="1"/>
  <c r="C119" i="7"/>
  <c r="C83" i="7"/>
  <c r="C33" i="7"/>
  <c r="E33" i="7" s="1"/>
  <c r="C118" i="7"/>
  <c r="E118" i="7" s="1"/>
  <c r="C64" i="7"/>
  <c r="C14" i="7"/>
  <c r="E14" i="7" s="1"/>
  <c r="C117" i="7"/>
  <c r="E117" i="7" s="1"/>
  <c r="C97" i="7"/>
  <c r="E97" i="7" s="1"/>
  <c r="C63" i="7"/>
  <c r="E63" i="7" s="1"/>
  <c r="C31" i="7"/>
  <c r="E31" i="7" s="1"/>
  <c r="C11" i="7"/>
  <c r="E11" i="7" s="1"/>
  <c r="C96" i="7"/>
  <c r="E96" i="7" s="1"/>
  <c r="C62" i="7"/>
  <c r="C28" i="7"/>
  <c r="E75" i="7"/>
  <c r="C106" i="7"/>
  <c r="C52" i="7"/>
  <c r="E52" i="7" s="1"/>
  <c r="C20" i="7"/>
  <c r="E20" i="7" s="1"/>
  <c r="C105" i="7"/>
  <c r="E105" i="7" s="1"/>
  <c r="C51" i="7"/>
  <c r="E51" i="7" s="1"/>
  <c r="C120" i="7"/>
  <c r="E120" i="7" s="1"/>
  <c r="C86" i="7"/>
  <c r="C50" i="7"/>
  <c r="C103" i="7"/>
  <c r="C67" i="7"/>
  <c r="C49" i="7"/>
  <c r="E49" i="7" s="1"/>
  <c r="C15" i="7"/>
  <c r="C100" i="7"/>
  <c r="C82" i="7"/>
  <c r="E82" i="7" s="1"/>
  <c r="C32" i="7"/>
  <c r="E32" i="7" s="1"/>
  <c r="C81" i="7"/>
  <c r="E81" i="7" s="1"/>
  <c r="C47" i="7"/>
  <c r="E47" i="7" s="1"/>
  <c r="C116" i="7"/>
  <c r="E116" i="7" s="1"/>
  <c r="C80" i="7"/>
  <c r="E80" i="7" s="1"/>
  <c r="C46" i="7"/>
  <c r="C10" i="7"/>
  <c r="C111" i="7"/>
  <c r="C95" i="7"/>
  <c r="E95" i="7" s="1"/>
  <c r="C79" i="7"/>
  <c r="C61" i="7"/>
  <c r="E61" i="7" s="1"/>
  <c r="C45" i="7"/>
  <c r="C25" i="7"/>
  <c r="C9" i="7"/>
  <c r="E9" i="7" s="1"/>
  <c r="E112" i="7" l="1"/>
  <c r="E25" i="7"/>
  <c r="E54" i="7"/>
  <c r="E45" i="7"/>
  <c r="E24" i="7"/>
  <c r="E106" i="7"/>
  <c r="E72" i="7"/>
  <c r="E15" i="7"/>
  <c r="E115" i="7"/>
  <c r="F121" i="7"/>
  <c r="I4" i="7" s="1"/>
  <c r="E55" i="7"/>
  <c r="E67" i="7"/>
  <c r="E22" i="7"/>
  <c r="E10" i="7"/>
  <c r="E103" i="7"/>
  <c r="E28" i="7"/>
  <c r="E83" i="7"/>
  <c r="E71" i="7"/>
  <c r="E101" i="7"/>
  <c r="E92" i="7"/>
  <c r="E76" i="7"/>
  <c r="E59" i="7"/>
  <c r="E104" i="7"/>
  <c r="E109" i="7"/>
  <c r="E66" i="7"/>
  <c r="E70" i="7"/>
  <c r="E5" i="7"/>
  <c r="I5" i="7" s="1"/>
  <c r="I6" i="7" s="1"/>
  <c r="E79" i="7"/>
  <c r="E64" i="7"/>
  <c r="E7" i="7"/>
  <c r="E99" i="7"/>
  <c r="E111" i="7"/>
  <c r="E85" i="7"/>
  <c r="E113" i="7"/>
  <c r="E58" i="7"/>
  <c r="E46" i="7"/>
  <c r="E50" i="7"/>
  <c r="E62" i="7"/>
  <c r="E119" i="7"/>
  <c r="E57" i="7"/>
  <c r="E114" i="7"/>
  <c r="E89" i="7"/>
  <c r="E39" i="7"/>
  <c r="E110" i="7"/>
  <c r="E100" i="7"/>
  <c r="E30" i="7"/>
  <c r="E108" i="7"/>
  <c r="E88" i="7"/>
  <c r="E86" i="7"/>
  <c r="E43" i="7"/>
  <c r="E77" i="7"/>
  <c r="E93" i="7"/>
  <c r="E74" i="7"/>
  <c r="E91" i="7"/>
  <c r="E48" i="7"/>
</calcChain>
</file>

<file path=xl/sharedStrings.xml><?xml version="1.0" encoding="utf-8"?>
<sst xmlns="http://schemas.openxmlformats.org/spreadsheetml/2006/main" count="2290" uniqueCount="1717">
  <si>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</si>
  <si>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</si>
  <si>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</si>
  <si>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</si>
  <si>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</si>
  <si>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</si>
  <si>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</si>
  <si>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</si>
  <si>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</si>
  <si>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</si>
  <si>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</si>
  <si>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</si>
  <si>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</si>
  <si>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</si>
  <si>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</si>
  <si>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</si>
  <si>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</si>
  <si>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</si>
  <si>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</si>
  <si>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</si>
  <si>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</si>
  <si>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</si>
  <si>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</si>
  <si>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</si>
  <si>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</si>
  <si>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</si>
  <si>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</si>
  <si>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</si>
  <si>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</si>
  <si>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</si>
  <si>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</si>
  <si>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</si>
  <si>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</si>
  <si>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</si>
  <si>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</si>
  <si>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</si>
  <si>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</si>
  <si>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</si>
  <si>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</si>
  <si>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</si>
  <si>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</si>
  <si>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</si>
  <si>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</si>
  <si>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</si>
  <si>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</si>
  <si>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</si>
  <si>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</si>
  <si>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</si>
  <si>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</si>
  <si>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</si>
  <si>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</si>
  <si>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</si>
  <si>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</si>
  <si>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</si>
  <si>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</si>
  <si>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</si>
  <si>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</si>
  <si>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</si>
  <si>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</si>
  <si>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</si>
  <si>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</si>
  <si>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</si>
  <si>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</si>
  <si>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</si>
  <si>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</si>
  <si>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</si>
  <si>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</si>
  <si>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</si>
  <si>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</si>
  <si>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</si>
  <si>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</si>
  <si>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</si>
  <si>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</si>
  <si>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</si>
  <si>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</si>
  <si>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</si>
  <si>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</si>
  <si>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</si>
  <si>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</si>
  <si>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</si>
  <si>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</si>
  <si>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</si>
  <si>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</si>
  <si>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</si>
  <si>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</si>
  <si>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</si>
  <si>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</si>
  <si>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</si>
  <si>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</si>
  <si>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</si>
  <si>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</si>
  <si>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</si>
  <si>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</si>
  <si>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</si>
  <si>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</si>
  <si>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</si>
  <si>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</si>
  <si>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</si>
  <si>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</si>
  <si>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</si>
  <si>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</si>
  <si>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</si>
  <si>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</si>
  <si>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</si>
  <si>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</si>
  <si>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</si>
  <si>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</si>
  <si>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</si>
  <si>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</si>
  <si>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</si>
  <si>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</si>
  <si>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</si>
  <si>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</si>
  <si>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</si>
  <si>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</si>
  <si>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</si>
  <si>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</si>
  <si>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</si>
  <si>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</si>
  <si>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</si>
  <si>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</si>
  <si>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</si>
  <si>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</si>
  <si>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</si>
  <si>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</si>
  <si>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</si>
  <si>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</si>
  <si>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</si>
  <si>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</si>
  <si>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</si>
  <si>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</si>
  <si>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</si>
  <si>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</si>
  <si>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</si>
  <si>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</si>
  <si>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</si>
  <si>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</si>
  <si>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</si>
  <si>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</si>
  <si>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</si>
  <si>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</si>
  <si>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</si>
  <si>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</si>
  <si>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</si>
  <si>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</si>
  <si>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</si>
  <si>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</si>
  <si>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</si>
  <si>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</si>
  <si>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</si>
  <si>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</si>
  <si>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</si>
  <si>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</si>
  <si>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</si>
  <si>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</si>
  <si>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</si>
  <si>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</si>
  <si>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</si>
  <si>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</si>
  <si>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</si>
  <si>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</si>
  <si>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</si>
  <si>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</si>
  <si>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</si>
  <si>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</si>
  <si>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</si>
  <si>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</si>
  <si>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</si>
  <si>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</si>
  <si>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</si>
  <si>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</si>
  <si>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</si>
  <si>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</si>
  <si>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</si>
  <si>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</si>
  <si>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</si>
  <si>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</si>
  <si>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</si>
  <si>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</si>
  <si>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</si>
  <si>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</si>
  <si>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</si>
  <si>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</si>
  <si>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</si>
  <si>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</si>
  <si>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</si>
  <si>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</si>
  <si>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</si>
  <si>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</si>
  <si>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</si>
  <si>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</si>
  <si>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</si>
  <si>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</si>
  <si>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</si>
  <si>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</si>
  <si>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</si>
  <si>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</si>
  <si>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</si>
  <si>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</si>
  <si>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</si>
  <si>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</si>
  <si>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</si>
  <si>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</si>
  <si>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</si>
  <si>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</si>
  <si>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</si>
  <si>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</si>
  <si>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</si>
  <si>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</si>
  <si>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</si>
  <si>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</si>
  <si>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</si>
  <si>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</si>
  <si>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</si>
  <si>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</si>
  <si>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</si>
  <si>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</si>
  <si>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</si>
  <si>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</si>
  <si>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</si>
  <si>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</si>
  <si>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</si>
  <si>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</si>
  <si>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</si>
  <si>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</si>
  <si>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</si>
  <si>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</si>
  <si>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</si>
  <si>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</si>
  <si>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</si>
  <si>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</si>
  <si>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</si>
  <si>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</si>
  <si>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</si>
  <si>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</si>
  <si>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</si>
  <si>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</si>
  <si>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</si>
  <si>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</si>
  <si>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</si>
  <si>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</si>
  <si>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</si>
  <si>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</si>
  <si>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</si>
  <si>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</si>
  <si>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</si>
  <si>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</si>
  <si>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</si>
  <si>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</si>
  <si>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</si>
  <si>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</si>
  <si>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</si>
  <si>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</si>
  <si>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</si>
  <si>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</si>
  <si>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</si>
  <si>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</si>
  <si>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</si>
  <si>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</si>
  <si>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</si>
  <si>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</si>
  <si>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</si>
  <si>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</si>
  <si>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</si>
  <si>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</si>
  <si>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</si>
  <si>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</si>
  <si>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</si>
  <si>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</si>
  <si>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</si>
  <si>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</si>
  <si>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</si>
  <si>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</si>
  <si>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</si>
  <si>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</si>
  <si>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</si>
  <si>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</si>
  <si>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</si>
  <si>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</si>
  <si>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</si>
  <si>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</si>
  <si>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</si>
  <si>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</si>
  <si>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</si>
  <si>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</si>
  <si>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</si>
  <si>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</si>
  <si>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</si>
  <si>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</si>
  <si>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</si>
  <si>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</si>
  <si>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</si>
  <si>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</si>
  <si>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</si>
  <si>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</si>
  <si>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</si>
  <si>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</si>
  <si>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</si>
  <si>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</si>
  <si>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</si>
  <si>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</si>
  <si>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</si>
  <si>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</si>
  <si>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</si>
  <si>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</si>
  <si>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</si>
  <si>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</si>
  <si>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</si>
  <si>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</si>
  <si>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</si>
  <si>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</si>
  <si>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</si>
  <si>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</si>
  <si>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</si>
  <si>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</si>
  <si>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</si>
  <si>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</si>
  <si>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</si>
  <si>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</si>
  <si>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</si>
  <si>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</si>
  <si>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</si>
  <si>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</si>
  <si>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</si>
  <si>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</si>
  <si>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</si>
  <si>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</si>
  <si>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</si>
  <si>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</si>
  <si>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</si>
  <si>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</si>
  <si>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</si>
  <si>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</si>
  <si>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</si>
  <si>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</si>
  <si>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</si>
  <si>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</si>
  <si>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</si>
  <si>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</si>
  <si>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</si>
  <si>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</si>
  <si>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</si>
  <si>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</si>
  <si>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</si>
  <si>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</si>
  <si>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</si>
  <si>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</si>
  <si>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</si>
  <si>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</si>
  <si>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</si>
  <si>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</si>
  <si>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</si>
  <si>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</si>
  <si>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</si>
  <si>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</si>
  <si>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</si>
  <si>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</si>
  <si>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</si>
  <si>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</si>
  <si>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</si>
  <si>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</si>
  <si>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</si>
  <si>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</si>
  <si>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</si>
  <si>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</si>
  <si>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</si>
  <si>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</si>
  <si>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</si>
  <si>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</si>
  <si>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</si>
  <si>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</si>
  <si>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</si>
  <si>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</si>
  <si>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</si>
  <si>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</si>
  <si>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</si>
  <si>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</si>
  <si>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</si>
  <si>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</si>
  <si>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</si>
  <si>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</si>
  <si>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</si>
  <si>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</si>
  <si>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</si>
  <si>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</si>
  <si>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</si>
  <si>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</si>
  <si>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</si>
  <si>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</si>
  <si>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</si>
  <si>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</si>
  <si>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</si>
  <si>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</si>
  <si>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</si>
  <si>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</si>
  <si>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</si>
  <si>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</si>
  <si>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</si>
  <si>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</si>
  <si>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</si>
  <si>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</si>
  <si>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</si>
  <si>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</si>
  <si>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</si>
  <si>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</si>
  <si>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</si>
  <si>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</si>
  <si>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</si>
  <si>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</si>
  <si>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</si>
  <si>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</si>
  <si>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</si>
  <si>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</si>
  <si>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</si>
  <si>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</si>
  <si>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</si>
  <si>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</si>
  <si>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</si>
  <si>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</si>
  <si>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</si>
  <si>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</si>
  <si>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</si>
  <si>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</si>
  <si>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</si>
  <si>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</si>
  <si>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</si>
  <si>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</si>
  <si>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</si>
  <si>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</si>
  <si>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</si>
  <si>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</si>
  <si>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</si>
  <si>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</si>
  <si>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</si>
  <si>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</si>
  <si>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</si>
  <si>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</si>
  <si>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</si>
  <si>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</si>
  <si>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</si>
  <si>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</si>
  <si>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</si>
  <si>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</si>
  <si>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</si>
  <si>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</si>
  <si>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</si>
  <si>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</si>
  <si>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</si>
  <si>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</si>
  <si>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</si>
  <si>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</si>
  <si>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</si>
  <si>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</si>
  <si>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</si>
  <si>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</si>
  <si>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</si>
  <si>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</si>
  <si>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</si>
  <si>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</si>
  <si>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</si>
  <si>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</si>
  <si>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</si>
  <si>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</si>
  <si>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</si>
  <si>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</si>
  <si>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</si>
  <si>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</si>
  <si>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</si>
  <si>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</si>
  <si>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</si>
  <si>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</si>
  <si>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</si>
  <si>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</si>
  <si>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</si>
  <si>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</si>
  <si>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</si>
  <si>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</si>
  <si>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</si>
  <si>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</si>
  <si>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</si>
  <si>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</si>
  <si>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</si>
  <si>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</si>
  <si>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</si>
  <si>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</si>
  <si>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</si>
  <si>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</si>
  <si>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</si>
  <si>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</si>
  <si>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</si>
  <si>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</si>
  <si>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</si>
  <si>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</si>
  <si>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</si>
  <si>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</si>
  <si>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</si>
  <si>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</si>
  <si>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</si>
  <si>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</si>
  <si>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</si>
  <si>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</si>
  <si>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</si>
  <si>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</si>
  <si>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</si>
  <si>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</si>
  <si>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</si>
  <si>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</si>
  <si>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</si>
  <si>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</si>
  <si>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</si>
  <si>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</si>
  <si>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</si>
  <si>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</si>
  <si>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</si>
  <si>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</si>
  <si>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</si>
  <si>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</si>
  <si>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</si>
  <si>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</si>
  <si>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</si>
  <si>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</si>
  <si>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</si>
  <si>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</si>
  <si>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</si>
  <si>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</si>
  <si>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</si>
  <si>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</si>
  <si>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</si>
  <si>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</si>
  <si>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</si>
  <si>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</si>
  <si>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</si>
  <si>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</si>
  <si>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</si>
  <si>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</si>
  <si>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</si>
  <si>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</si>
  <si>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</si>
  <si>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</si>
  <si>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</si>
  <si>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</si>
  <si>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</si>
  <si>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</si>
  <si>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</si>
  <si>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</si>
  <si>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</si>
  <si>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</si>
  <si>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</si>
  <si>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</si>
  <si>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</si>
  <si>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</si>
  <si>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</si>
  <si>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</si>
  <si>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</si>
  <si>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</si>
  <si>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</si>
  <si>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</si>
  <si>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</si>
  <si>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</si>
  <si>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</si>
  <si>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</si>
  <si>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</si>
  <si>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</si>
  <si>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</si>
  <si>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</si>
  <si>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</si>
  <si>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</si>
  <si>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</si>
  <si>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</si>
  <si>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</si>
  <si>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</si>
  <si>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</si>
  <si>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</si>
  <si>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</si>
  <si>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</si>
  <si>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</si>
  <si>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</si>
  <si>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</si>
  <si>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</si>
  <si>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</si>
  <si>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</si>
  <si>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</si>
  <si>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</si>
  <si>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</si>
  <si>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</si>
  <si>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</si>
  <si>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</si>
  <si>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</si>
  <si>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</si>
  <si>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</si>
  <si>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</si>
  <si>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</si>
  <si>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</si>
  <si>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</si>
  <si>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</si>
  <si>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</si>
  <si>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</si>
  <si>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</si>
  <si>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</si>
  <si>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</si>
  <si>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</si>
  <si>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</si>
  <si>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</si>
  <si>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</si>
  <si>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</si>
  <si>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</si>
  <si>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</si>
  <si>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</si>
  <si>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</si>
  <si>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</si>
  <si>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</si>
  <si>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</si>
  <si>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</si>
  <si>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</si>
  <si>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</si>
  <si>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</si>
  <si>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</si>
  <si>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</si>
  <si>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</si>
  <si>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</si>
  <si>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</si>
  <si>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</si>
  <si>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</si>
  <si>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</si>
  <si>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</si>
  <si>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</si>
  <si>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</si>
  <si>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</si>
  <si>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</si>
  <si>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</si>
  <si>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</si>
  <si>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</si>
  <si>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</si>
  <si>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</si>
  <si>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</si>
  <si>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</si>
  <si>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</si>
  <si>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</si>
  <si>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</si>
  <si>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</si>
  <si>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</si>
  <si>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</si>
  <si>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</si>
  <si>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</si>
  <si>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</si>
  <si>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</si>
  <si>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</si>
  <si>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</si>
  <si>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</si>
  <si>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</si>
  <si>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</si>
  <si>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</si>
  <si>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</si>
  <si>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</si>
  <si>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</si>
  <si>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</si>
  <si>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</si>
  <si>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</si>
  <si>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</si>
  <si>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</si>
  <si>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</si>
  <si>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</si>
  <si>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</si>
  <si>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</si>
  <si>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</si>
  <si>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</si>
  <si>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</si>
  <si>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</si>
  <si>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</si>
  <si>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</si>
  <si>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</si>
  <si>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</si>
  <si>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</si>
  <si>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</si>
  <si>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</si>
  <si>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</si>
  <si>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</si>
  <si>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</si>
  <si>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</si>
  <si>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</si>
  <si>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</si>
  <si>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</si>
  <si>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</si>
  <si>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</si>
  <si>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</si>
  <si>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</si>
  <si>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</si>
  <si>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</si>
  <si>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</si>
  <si>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</si>
  <si>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</si>
  <si>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</si>
  <si>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</si>
  <si>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</si>
  <si>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</si>
  <si>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</si>
  <si>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</si>
  <si>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</si>
  <si>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</si>
  <si>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</si>
  <si>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</si>
  <si>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</si>
  <si>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</si>
  <si>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</si>
  <si>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</si>
  <si>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</si>
  <si>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</si>
  <si>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</si>
  <si>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</si>
  <si>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</si>
  <si>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</si>
  <si>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</si>
  <si>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</si>
  <si>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</si>
  <si>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</si>
  <si>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</si>
  <si>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</si>
  <si>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</si>
  <si>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</si>
  <si>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</si>
  <si>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</si>
  <si>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</si>
  <si>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</si>
  <si>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</si>
  <si>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</si>
  <si>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</si>
  <si>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</si>
  <si>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</si>
  <si>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</si>
  <si>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</si>
  <si>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</si>
  <si>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</si>
  <si>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</si>
  <si>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</si>
  <si>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</si>
  <si>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</si>
  <si>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</si>
  <si>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</si>
  <si>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</si>
  <si>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</si>
  <si>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</si>
  <si>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</si>
  <si>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</si>
  <si>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</si>
  <si>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</si>
  <si>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</si>
  <si>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</si>
  <si>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</si>
  <si>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</si>
  <si>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</si>
  <si>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</si>
  <si>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</si>
  <si>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</si>
  <si>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</si>
  <si>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</si>
  <si>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</si>
  <si>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</si>
  <si>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</si>
  <si>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</si>
  <si>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</si>
  <si>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</si>
  <si>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</si>
  <si>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</si>
  <si>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</si>
  <si>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</si>
  <si>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</si>
  <si>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</si>
  <si>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</si>
  <si>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</si>
  <si>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</si>
  <si>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</si>
  <si>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</si>
  <si>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</si>
  <si>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</si>
  <si>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</si>
  <si>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</si>
  <si>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</si>
  <si>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</si>
  <si>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</si>
  <si>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</si>
  <si>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</si>
  <si>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</si>
  <si>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</si>
  <si>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</si>
  <si>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</si>
  <si>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</si>
  <si>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</si>
  <si>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</si>
  <si>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</si>
  <si>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</si>
  <si>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</si>
  <si>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</si>
  <si>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</si>
  <si>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</si>
  <si>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</si>
  <si>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</si>
  <si>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</si>
  <si>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</si>
  <si>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</si>
  <si>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</si>
  <si>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</si>
  <si>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</si>
  <si>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</si>
  <si>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</si>
  <si>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</si>
  <si>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</si>
  <si>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</si>
  <si>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</si>
  <si>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</si>
  <si>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</si>
  <si>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</si>
  <si>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</si>
  <si>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</si>
  <si>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</si>
  <si>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</si>
  <si>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</si>
  <si>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</si>
  <si>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</si>
  <si>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</si>
  <si>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</si>
  <si>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</si>
  <si>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</si>
  <si>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</si>
  <si>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</si>
  <si>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</si>
  <si>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</si>
  <si>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</si>
  <si>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</si>
  <si>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</si>
  <si>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</si>
  <si>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</si>
  <si>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</si>
  <si>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</si>
  <si>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</si>
  <si>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</si>
  <si>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</si>
  <si>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</si>
  <si>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</si>
  <si>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</si>
  <si>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</si>
  <si>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</si>
  <si>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</si>
  <si>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</si>
  <si>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</si>
  <si>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</si>
  <si>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</si>
  <si>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</si>
  <si>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</si>
  <si>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</si>
  <si>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</si>
  <si>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</si>
  <si>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</si>
  <si>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</si>
  <si>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</si>
  <si>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</si>
  <si>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</si>
  <si>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</si>
  <si>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</si>
  <si>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</si>
  <si>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</si>
  <si>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</si>
  <si>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</si>
  <si>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</si>
  <si>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</si>
  <si>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</si>
  <si>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</si>
  <si>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</si>
  <si>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</si>
  <si>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</si>
  <si>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</si>
  <si>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</si>
  <si>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</si>
  <si>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</si>
  <si>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</si>
  <si>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</si>
  <si>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</si>
  <si>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</si>
  <si>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</si>
  <si>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</si>
  <si>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</si>
  <si>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</si>
  <si>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</si>
  <si>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</si>
  <si>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</si>
  <si>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</si>
  <si>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</si>
  <si>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</si>
  <si>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</si>
  <si>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</si>
  <si>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</si>
  <si>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</si>
  <si>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</si>
  <si>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</si>
  <si>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</si>
  <si>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</si>
  <si>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</si>
  <si>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</si>
  <si>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</si>
  <si>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</si>
  <si>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</si>
  <si>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</si>
  <si>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</si>
  <si>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</si>
  <si>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</si>
  <si>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</si>
  <si>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</si>
  <si>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</si>
  <si>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</si>
  <si>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</si>
  <si>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</si>
  <si>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</si>
  <si>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</si>
  <si>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</si>
  <si>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</si>
  <si>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</si>
  <si>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</si>
  <si>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</si>
  <si>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</si>
  <si>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</si>
  <si>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</si>
  <si>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</si>
  <si>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</si>
  <si>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</si>
  <si>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</si>
  <si>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</si>
  <si>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</si>
  <si>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</si>
  <si>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</si>
  <si>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</si>
  <si>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</si>
  <si>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</si>
  <si>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</si>
  <si>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</si>
  <si>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</si>
  <si>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</si>
  <si>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</si>
  <si>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</si>
  <si>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</si>
  <si>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</si>
  <si>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</si>
  <si>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</si>
  <si>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</si>
  <si>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</si>
  <si>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</si>
  <si>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</si>
  <si>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</si>
  <si>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</si>
  <si>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</si>
  <si>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</si>
  <si>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</si>
  <si>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</si>
  <si>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</si>
  <si>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</si>
  <si>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</si>
  <si>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</si>
  <si>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</si>
  <si>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</si>
  <si>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</si>
  <si>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</si>
  <si>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</si>
  <si>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</si>
  <si>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</si>
  <si>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</si>
  <si>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</si>
  <si>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</si>
  <si>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</si>
  <si>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</si>
  <si>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</si>
  <si>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</si>
  <si>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</si>
  <si>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</si>
  <si>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</si>
  <si>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</si>
  <si>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</si>
  <si>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</si>
  <si>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</si>
  <si>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</si>
  <si>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</si>
  <si>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</si>
  <si>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</si>
  <si>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</si>
  <si>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</si>
  <si>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</si>
  <si>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</si>
  <si>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</si>
  <si>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</si>
  <si>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</si>
  <si>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</si>
  <si>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</si>
  <si>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</si>
  <si>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</si>
  <si>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</si>
  <si>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</si>
  <si>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</si>
  <si>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</si>
  <si>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</si>
  <si>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</si>
  <si>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</si>
  <si>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</si>
  <si>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</si>
  <si>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</si>
  <si>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</si>
  <si>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</si>
  <si>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</si>
  <si>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</si>
  <si>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</si>
  <si>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</si>
  <si>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</si>
  <si>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</si>
  <si>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</si>
  <si>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</si>
  <si>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</si>
  <si>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</si>
  <si>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</si>
  <si>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</si>
  <si>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</si>
  <si>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</si>
  <si>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</si>
  <si>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</si>
  <si>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</si>
  <si>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</si>
  <si>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</si>
  <si>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</si>
  <si>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</si>
  <si>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</si>
  <si>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</si>
  <si>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</si>
  <si>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</si>
  <si>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</si>
  <si>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</si>
  <si>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</si>
  <si>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</si>
  <si>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</si>
  <si>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</si>
  <si>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</si>
  <si>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</si>
  <si>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</si>
  <si>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</si>
  <si>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</si>
  <si>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</si>
  <si>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</si>
  <si>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</si>
  <si>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</si>
  <si>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</si>
  <si>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</si>
  <si>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</si>
  <si>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</si>
  <si>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</si>
  <si>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</si>
  <si>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</si>
  <si>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</si>
  <si>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</si>
  <si>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</si>
  <si>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</si>
  <si>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</si>
  <si>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</si>
  <si>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</si>
  <si>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</si>
  <si>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</si>
  <si>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</si>
  <si>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</si>
  <si>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</si>
  <si>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</si>
  <si>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</si>
  <si>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</si>
  <si>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</si>
  <si>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</si>
  <si>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</si>
  <si>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</si>
  <si>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</si>
  <si>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</si>
  <si>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</si>
  <si>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</si>
  <si>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</si>
  <si>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</si>
  <si>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</si>
  <si>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</si>
  <si>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</si>
  <si>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</si>
  <si>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</si>
  <si>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</si>
  <si>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</si>
  <si>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</si>
  <si>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</si>
  <si>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</si>
  <si>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</si>
  <si>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</si>
  <si>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</si>
  <si>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</si>
  <si>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</si>
  <si>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</si>
  <si>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</si>
  <si>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</si>
  <si>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</si>
  <si>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</si>
  <si>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</si>
  <si>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</si>
  <si>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</si>
  <si>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</si>
  <si>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</si>
  <si>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</si>
  <si>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</si>
  <si>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</si>
  <si>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</si>
  <si>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</si>
  <si>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</si>
  <si>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</si>
  <si>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</si>
  <si>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</si>
  <si>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</si>
  <si>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</si>
  <si>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</si>
  <si>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</si>
  <si>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</si>
  <si>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</si>
  <si>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</si>
  <si>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</si>
  <si>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</si>
  <si>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</si>
  <si>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</si>
  <si>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</si>
  <si>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</si>
  <si>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</si>
  <si>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</si>
  <si>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</si>
  <si>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</si>
  <si>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</si>
  <si>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</si>
  <si>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</si>
  <si>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</si>
  <si>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</si>
  <si>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</si>
  <si>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</si>
  <si>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</si>
  <si>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</si>
  <si>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</si>
  <si>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</si>
  <si>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</si>
  <si>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</si>
  <si>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</si>
  <si>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</si>
  <si>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</si>
  <si>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</si>
  <si>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</si>
  <si>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</si>
  <si>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</si>
  <si>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</si>
  <si>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</si>
  <si>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</si>
  <si>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</si>
  <si>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</si>
  <si>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</si>
  <si>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</si>
  <si>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</si>
  <si>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</si>
  <si>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</si>
  <si>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</si>
  <si>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</si>
  <si>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</si>
  <si>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</si>
  <si>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</si>
  <si>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</si>
  <si>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</si>
  <si>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</si>
  <si>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</si>
  <si>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</si>
  <si>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</si>
  <si>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</si>
  <si>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</si>
  <si>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</si>
  <si>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</si>
  <si>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</si>
  <si>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</si>
  <si>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</si>
  <si>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</si>
  <si>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</si>
  <si>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</si>
  <si>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</si>
  <si>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</si>
  <si>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</si>
  <si>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</si>
  <si>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</si>
  <si>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</si>
  <si>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</si>
  <si>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</si>
  <si>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</si>
  <si>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</si>
  <si>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</si>
  <si>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</si>
  <si>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</si>
  <si>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</si>
  <si>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</si>
  <si>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</si>
  <si>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</si>
  <si>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</si>
  <si>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</si>
  <si>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</si>
  <si>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</si>
  <si>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</si>
  <si>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</si>
  <si>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</si>
  <si>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</si>
  <si>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</si>
  <si>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</si>
  <si>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</si>
  <si>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</si>
  <si>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</si>
  <si>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</si>
  <si>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</si>
  <si>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</si>
  <si>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</si>
  <si>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</si>
  <si>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</si>
  <si>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</si>
  <si>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</si>
  <si>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</si>
  <si>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</si>
  <si>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</si>
  <si>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</si>
  <si>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</si>
  <si>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</si>
  <si>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</si>
  <si>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</si>
  <si>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</si>
  <si>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</si>
  <si>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</si>
  <si>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</si>
  <si>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</si>
  <si>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</si>
  <si>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</si>
  <si>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</si>
  <si>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</si>
  <si>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</si>
  <si>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</si>
  <si>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</si>
  <si>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</si>
  <si>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</si>
  <si>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</si>
  <si>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</si>
  <si>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</si>
  <si>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</si>
  <si>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</si>
  <si>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</si>
  <si>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</si>
  <si>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</si>
  <si>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</si>
  <si>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</si>
  <si>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</si>
  <si>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</si>
  <si>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</si>
  <si>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</si>
  <si>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</si>
  <si>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</si>
  <si>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</si>
  <si>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</si>
  <si>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</si>
  <si>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</si>
  <si>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</si>
  <si>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</si>
  <si>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</si>
  <si>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</si>
  <si>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</si>
  <si>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</si>
  <si>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</si>
  <si>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</si>
  <si>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</si>
  <si>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</si>
  <si>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</si>
  <si>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</si>
  <si>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</si>
  <si>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</si>
  <si>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</si>
  <si>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</si>
  <si>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</si>
  <si>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</si>
  <si>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</si>
  <si>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</si>
  <si>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</si>
  <si>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</si>
  <si>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</si>
  <si>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</si>
  <si>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</si>
  <si>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</si>
  <si>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</si>
  <si>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</si>
  <si>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</si>
  <si>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</si>
  <si>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</si>
  <si>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</si>
  <si>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</si>
  <si>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</si>
  <si>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</si>
  <si>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</si>
  <si>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</si>
  <si>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</si>
  <si>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</si>
  <si>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</si>
  <si>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</si>
  <si>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</si>
  <si>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</si>
  <si>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</si>
  <si>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</si>
  <si>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</si>
  <si>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</si>
  <si>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</si>
  <si>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</si>
  <si>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</si>
  <si>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</si>
  <si>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</si>
  <si>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</si>
  <si>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</si>
  <si>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</si>
  <si>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</si>
  <si>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</si>
  <si>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</si>
  <si>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</si>
  <si>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</si>
  <si>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</si>
  <si>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</si>
  <si>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</si>
  <si>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</si>
  <si>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</si>
  <si>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</si>
  <si>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</si>
  <si>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</si>
  <si>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</si>
  <si>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</si>
  <si>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</si>
  <si>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</si>
  <si>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</si>
  <si>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</si>
  <si>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</si>
  <si>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</si>
  <si>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</si>
  <si>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</si>
  <si>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</si>
  <si>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</si>
  <si>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</si>
  <si>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</si>
  <si>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</si>
  <si>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</si>
  <si>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</si>
  <si>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</si>
  <si>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</si>
  <si>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</si>
  <si>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</si>
  <si>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</si>
  <si>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</si>
  <si>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</si>
  <si>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</si>
  <si>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</si>
  <si>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</si>
  <si>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</si>
  <si>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</si>
  <si>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</si>
  <si>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</si>
  <si>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</si>
  <si>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</si>
  <si>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</si>
  <si>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</si>
  <si>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</si>
  <si>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</si>
  <si>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</si>
  <si>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</si>
  <si>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</si>
  <si>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</si>
  <si>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</si>
  <si>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</si>
  <si>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</si>
  <si>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</si>
  <si>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</si>
  <si>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</si>
  <si>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</si>
  <si>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</si>
  <si>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</si>
  <si>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</si>
  <si>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</si>
  <si>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</si>
  <si>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</si>
  <si>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</si>
  <si>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</si>
  <si>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</si>
  <si>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</si>
  <si>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</si>
  <si>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</si>
  <si>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</si>
  <si>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</si>
  <si>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</si>
  <si>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</si>
  <si>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</si>
  <si>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</si>
  <si>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</si>
  <si>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</si>
  <si>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</si>
  <si>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</si>
  <si>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</si>
  <si>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</si>
  <si>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</si>
  <si>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</si>
  <si>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</si>
  <si>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</si>
  <si>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</si>
  <si>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</si>
  <si>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</si>
  <si>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</si>
  <si>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</si>
  <si>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</si>
  <si>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</si>
  <si>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</si>
  <si>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</si>
  <si>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</si>
  <si>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</si>
  <si>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</si>
  <si>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</si>
  <si>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</si>
  <si>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</si>
  <si>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</si>
  <si>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</si>
  <si>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</si>
  <si>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</si>
  <si>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</si>
  <si>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</si>
  <si>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</si>
  <si>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</si>
  <si>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</si>
  <si>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</si>
  <si>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</si>
  <si>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</si>
  <si>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</si>
  <si>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</si>
  <si>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</si>
  <si>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</si>
  <si>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</si>
  <si>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</si>
  <si>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</si>
  <si>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</si>
  <si>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</si>
  <si>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</si>
  <si>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</si>
  <si>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</si>
  <si>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</si>
  <si>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</si>
  <si>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</si>
  <si>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</si>
  <si>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</si>
  <si>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</si>
  <si>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</si>
  <si>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</si>
  <si>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</si>
  <si>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</si>
  <si>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</si>
  <si>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</si>
  <si>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</si>
  <si>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</si>
  <si>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</si>
  <si>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</si>
  <si>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</si>
  <si>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</si>
  <si>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</si>
  <si>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</si>
  <si>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</si>
  <si>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</si>
  <si>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</si>
  <si>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</si>
  <si>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</si>
  <si>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</si>
  <si>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</si>
  <si>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</si>
  <si>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</si>
  <si>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</si>
  <si>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</si>
  <si>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</si>
  <si>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</si>
  <si>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</si>
  <si>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</si>
  <si>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</si>
  <si>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</si>
  <si>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</si>
  <si>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</si>
  <si>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</si>
  <si>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</si>
  <si>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</si>
  <si>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</si>
  <si>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</si>
  <si>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</si>
  <si>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</si>
  <si>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</si>
  <si>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</si>
  <si>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</si>
  <si>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</si>
  <si>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</si>
  <si>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</si>
  <si>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</si>
  <si>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</si>
  <si>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</si>
  <si>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</si>
  <si>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</si>
  <si>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</si>
  <si>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</si>
  <si>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</si>
  <si>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</si>
  <si>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</si>
  <si>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</si>
  <si>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</si>
  <si>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</si>
  <si>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</si>
  <si>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</si>
  <si>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</si>
  <si>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</si>
  <si>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</si>
  <si>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</si>
  <si>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</si>
  <si>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</si>
  <si>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</si>
  <si>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</si>
  <si>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</si>
  <si>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</si>
  <si>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</si>
  <si>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</si>
  <si>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</si>
  <si>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</si>
  <si>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</si>
  <si>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</si>
  <si>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</si>
  <si>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</si>
  <si>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</si>
  <si>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</si>
  <si>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</si>
  <si>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</si>
  <si>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</si>
  <si>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</si>
  <si>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</si>
  <si>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</si>
  <si>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</si>
  <si>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</si>
  <si>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</si>
  <si>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</si>
  <si>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</si>
  <si>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</si>
  <si>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</si>
  <si>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</si>
  <si>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</si>
  <si>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</si>
  <si>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</si>
  <si>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</si>
  <si>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</si>
  <si>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</si>
  <si>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</si>
  <si>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</si>
  <si>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</si>
  <si>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</si>
  <si>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</si>
  <si>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</si>
  <si>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</si>
  <si>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</si>
  <si>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</si>
  <si>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</si>
  <si>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</si>
  <si>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</si>
  <si>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</si>
  <si>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</si>
  <si>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</si>
  <si>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</si>
  <si>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</si>
  <si>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</si>
  <si>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</si>
  <si>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</si>
  <si>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</si>
  <si>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</si>
  <si>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</si>
  <si>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</si>
  <si>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</si>
  <si>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</si>
  <si>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</si>
  <si>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</si>
  <si>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</si>
  <si>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</si>
  <si>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</si>
  <si>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</si>
  <si>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</si>
  <si>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</si>
  <si>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</si>
  <si>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</si>
  <si>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</si>
  <si>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</si>
  <si>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</si>
  <si>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</si>
  <si>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</si>
  <si>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</si>
  <si>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</si>
  <si>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</si>
  <si>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</si>
  <si>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</si>
  <si>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</si>
  <si>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</si>
  <si>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</si>
  <si>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</si>
  <si>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</si>
  <si>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</si>
  <si>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</si>
  <si>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</si>
  <si>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</si>
  <si>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</si>
  <si>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</si>
  <si>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</si>
  <si>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</si>
  <si>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</si>
  <si>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</si>
  <si>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</si>
  <si>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</si>
  <si>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</si>
  <si>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</si>
  <si>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</si>
  <si>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</si>
  <si>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</si>
  <si>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</si>
  <si>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</si>
  <si>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</si>
  <si>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</si>
  <si>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</si>
  <si>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</si>
  <si>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</si>
  <si>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</si>
  <si>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</si>
  <si>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</si>
  <si>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</si>
  <si>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</si>
  <si>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</si>
  <si>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</si>
  <si>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</si>
  <si>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</si>
  <si>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</si>
  <si>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</si>
  <si>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</si>
  <si>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</si>
  <si>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</si>
  <si>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</si>
  <si>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</si>
  <si>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</si>
  <si>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</si>
  <si>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</si>
  <si>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</si>
  <si>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</si>
  <si>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</si>
  <si>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</si>
  <si>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</si>
  <si>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</si>
  <si>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</si>
  <si>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</si>
  <si>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</si>
  <si>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</si>
  <si>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</si>
  <si>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</si>
  <si>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</si>
  <si>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</si>
  <si>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</si>
  <si>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</si>
  <si>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</si>
  <si>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</si>
  <si>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</si>
  <si>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</si>
  <si>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</si>
  <si>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</si>
  <si>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</si>
  <si>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</si>
  <si>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</si>
  <si>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</si>
  <si>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</si>
  <si>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</si>
  <si>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</si>
  <si>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</si>
  <si>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</si>
  <si>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</si>
  <si>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</si>
  <si>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</si>
  <si>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</si>
  <si>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</si>
  <si>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</si>
  <si>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</si>
  <si>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</si>
  <si>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</si>
  <si>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</si>
  <si>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</si>
  <si>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</si>
  <si>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</si>
  <si>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</si>
  <si>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</si>
  <si>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</si>
  <si>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</si>
  <si>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</si>
  <si>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</si>
  <si>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</si>
  <si>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</si>
  <si>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</si>
  <si>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</si>
  <si>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</si>
  <si>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</si>
  <si>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</si>
  <si>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</si>
  <si>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</si>
  <si>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</si>
  <si>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</si>
  <si>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</si>
  <si>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</si>
  <si>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</si>
  <si>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X bar</t>
  </si>
  <si>
    <t>Y bar</t>
  </si>
  <si>
    <t>B1</t>
  </si>
  <si>
    <t>yi - ybar</t>
  </si>
  <si>
    <t>xi - xbar</t>
  </si>
  <si>
    <t>penyebut</t>
  </si>
  <si>
    <t>pembilang</t>
  </si>
  <si>
    <t>Pembilang</t>
  </si>
  <si>
    <t>Penyebut</t>
  </si>
  <si>
    <t>B0</t>
  </si>
  <si>
    <t>50,3533 + 2,87498x</t>
  </si>
  <si>
    <t>Dugaan Persamaan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</si>
</sst>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rgb="FFF28E85"/>
      </patternFill>
    </fill>
    <fill>
      <patternFill patternType="solid">
        <fgColor theme="7"/>
        <bgColor rgb="FF9FC5E8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6" fillId="0" borderId="0"/>
  </cellStyleXfs>
  <cellXfs count="41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0" fillId="0" borderId="8" xfId="0" applyBorder="1"/>
    <xf numFmtId="0" fontId="3" fillId="0" borderId="8" xfId="0" applyFont="1" applyBorder="1" applyAlignment="1">
      <alignment horizontal="center"/>
    </xf>
    <xf numFmtId="0" fontId="0" fillId="7" borderId="8" xfId="0" applyFill="1" applyBorder="1"/>
    <xf numFmtId="0" fontId="1" fillId="8" borderId="8" xfId="0" applyFont="1" applyFill="1" applyBorder="1"/>
    <xf numFmtId="0" fontId="1" fillId="9" borderId="8" xfId="0" applyFont="1" applyFill="1" applyBorder="1"/>
    <xf numFmtId="0" fontId="8" fillId="10" borderId="8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7" fillId="0" borderId="12" xfId="0" applyFont="1" applyBorder="1"/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K120"/>
  <sheetViews>
    <sheetView topLeftCell="A32" zoomScale="76" workbookViewId="0">
      <selection activeCell="B1" sqref="B1:C120"/>
    </sheetView>
  </sheetViews>
  <sheetFormatPr defaultRowHeight="12.5" x14ac:dyDescent="0.25"/>
  <cols>
    <col min="1" max="1" width="29.81640625" customWidth="1"/>
  </cols>
  <sheetData>
    <row r="1" spans="1:11" ht="13.15" customHeight="1" x14ac:dyDescent="0.3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1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1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</row>
    <row r="4" spans="1:11" x14ac:dyDescent="0.25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</row>
    <row r="5" spans="1:11" x14ac:dyDescent="0.25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</row>
    <row r="6" spans="1:11" x14ac:dyDescent="0.2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</row>
    <row r="7" spans="1:11" x14ac:dyDescent="0.2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</row>
    <row r="8" spans="1:11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</row>
    <row r="9" spans="1:11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1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1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1" x14ac:dyDescent="0.2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1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1" x14ac:dyDescent="0.2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1" x14ac:dyDescent="0.2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1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6328125" defaultRowHeight="15.75" customHeight="1" x14ac:dyDescent="0.25"/>
  <sheetData>
    <row r="1" spans="1:60" ht="42.5" customHeight="1" x14ac:dyDescent="0.3">
      <c r="A1" s="19" t="s">
        <v>0</v>
      </c>
      <c r="B1" s="21" t="s">
        <v>1</v>
      </c>
      <c r="C1" s="16" t="s">
        <v>2</v>
      </c>
      <c r="D1" s="17"/>
      <c r="E1" s="17"/>
      <c r="F1" s="17"/>
      <c r="G1" s="18"/>
      <c r="H1" s="22" t="s">
        <v>3</v>
      </c>
      <c r="I1" s="17"/>
      <c r="J1" s="17"/>
      <c r="K1" s="17"/>
      <c r="L1" s="18"/>
      <c r="M1" s="16" t="s">
        <v>4</v>
      </c>
      <c r="N1" s="17"/>
      <c r="O1" s="17"/>
      <c r="P1" s="17"/>
      <c r="Q1" s="18"/>
      <c r="R1" s="23" t="s">
        <v>5</v>
      </c>
      <c r="S1" s="17"/>
      <c r="T1" s="17"/>
      <c r="U1" s="17"/>
      <c r="V1" s="18"/>
      <c r="W1" s="24" t="s">
        <v>6</v>
      </c>
      <c r="X1" s="17"/>
      <c r="Y1" s="17"/>
      <c r="Z1" s="17"/>
      <c r="AA1" s="18"/>
      <c r="AB1" s="25" t="s">
        <v>7</v>
      </c>
      <c r="AC1" s="17"/>
      <c r="AD1" s="18"/>
      <c r="AE1" s="16" t="s">
        <v>8</v>
      </c>
      <c r="AF1" s="17"/>
      <c r="AG1" s="17"/>
      <c r="AH1" s="17"/>
      <c r="AI1" s="18"/>
      <c r="AJ1" s="23" t="s">
        <v>9</v>
      </c>
      <c r="AK1" s="17"/>
      <c r="AL1" s="17"/>
      <c r="AM1" s="17"/>
      <c r="AN1" s="18"/>
      <c r="AO1" s="16" t="s">
        <v>10</v>
      </c>
      <c r="AP1" s="17"/>
      <c r="AQ1" s="17"/>
      <c r="AR1" s="17"/>
      <c r="AS1" s="18"/>
      <c r="AT1" s="23" t="s">
        <v>11</v>
      </c>
      <c r="AU1" s="17"/>
      <c r="AV1" s="17"/>
      <c r="AW1" s="17"/>
      <c r="AX1" s="18"/>
      <c r="AY1" s="16" t="s">
        <v>12</v>
      </c>
      <c r="AZ1" s="17"/>
      <c r="BA1" s="17"/>
      <c r="BB1" s="17"/>
      <c r="BC1" s="18"/>
      <c r="BD1" s="1"/>
      <c r="BE1" s="2"/>
      <c r="BF1" s="2"/>
      <c r="BG1" s="2"/>
      <c r="BH1" s="2"/>
    </row>
    <row r="2" spans="1:60" ht="13" x14ac:dyDescent="0.3">
      <c r="A2" s="20"/>
      <c r="B2" s="20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5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5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5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5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5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5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5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5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5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5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5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5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5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5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5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5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5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5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5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5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5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5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5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5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5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5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5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5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5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5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5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5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5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5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5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5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5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5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5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5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5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5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5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5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5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5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5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5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5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5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5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5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5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5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5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5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5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5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5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5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5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5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5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5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5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5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5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5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5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5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5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5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5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5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5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5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5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5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5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5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5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5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5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5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5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5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5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5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5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5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5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5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5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5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5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5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5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5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5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5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5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5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5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5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5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5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5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5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5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5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5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5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5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5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5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5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5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5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5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5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5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5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5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5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5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5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5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5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5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5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5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5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5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5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5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5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5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5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5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5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5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5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5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5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5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5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5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5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5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5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5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5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5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5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5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5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5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5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5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5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5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5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5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5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5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5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5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5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5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5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5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5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5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5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5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5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5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5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5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5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5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5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5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5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5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5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5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5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5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5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5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5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5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5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5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5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5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5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5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5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5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5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5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5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5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5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5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5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5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5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5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5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5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5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5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5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5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5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5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5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5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5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5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5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5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5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5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5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5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5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5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5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5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5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5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5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5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5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5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5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5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5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5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5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5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5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5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5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5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5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5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5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5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5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5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5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5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5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5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5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5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5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5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5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5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5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5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5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5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5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5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5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5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5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5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5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5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5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5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5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5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5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5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5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5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5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5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5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5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5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5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5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5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5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5" x14ac:dyDescent="0.3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5" x14ac:dyDescent="0.3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5" x14ac:dyDescent="0.3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5" x14ac:dyDescent="0.3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5" x14ac:dyDescent="0.3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5" x14ac:dyDescent="0.3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5" x14ac:dyDescent="0.3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5" x14ac:dyDescent="0.3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5" x14ac:dyDescent="0.3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5" x14ac:dyDescent="0.3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5" x14ac:dyDescent="0.3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5" x14ac:dyDescent="0.3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5" x14ac:dyDescent="0.3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5" x14ac:dyDescent="0.3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5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5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5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5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5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5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5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5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5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5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5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5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5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5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5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5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5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5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5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5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5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5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5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5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5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5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5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5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5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5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5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5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5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5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5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5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5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5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5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5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5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5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5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5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5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5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5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5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5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5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5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5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5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5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5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5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5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5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5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5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5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5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5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5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5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5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5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5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5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5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5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5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5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5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5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5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5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5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5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5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5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5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5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5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5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5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5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5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5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5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5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5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5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5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5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5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5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5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5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5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5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5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5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5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5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5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5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5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5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5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5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5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5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5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5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5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5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5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5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5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5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5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5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5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5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5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5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5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5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5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5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5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5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5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5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5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5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5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5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5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5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5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5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5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5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5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5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5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5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5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5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5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5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5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5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5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5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5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5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5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5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5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5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5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5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5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5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5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5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5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5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5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5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5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5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5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5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5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5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5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5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5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5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5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5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5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A526-8EC0-416D-BEB5-5BA2AF4B46F0}">
  <dimension ref="A1:K121"/>
  <sheetViews>
    <sheetView tabSelected="1" topLeftCell="A4" zoomScale="62" workbookViewId="0">
      <selection activeCell="H10" sqref="H10"/>
    </sheetView>
  </sheetViews>
  <sheetFormatPr defaultRowHeight="12.5" x14ac:dyDescent="0.25"/>
  <cols>
    <col min="1" max="1" width="27.453125" bestFit="1" customWidth="1"/>
    <col min="2" max="2" width="22.1796875" bestFit="1" customWidth="1"/>
    <col min="3" max="5" width="12.453125" bestFit="1" customWidth="1"/>
    <col min="6" max="6" width="11.81640625" bestFit="1" customWidth="1"/>
    <col min="8" max="8" width="17.7265625" bestFit="1" customWidth="1"/>
    <col min="9" max="13" width="8.81640625" bestFit="1" customWidth="1"/>
    <col min="14" max="14" width="12.54296875" bestFit="1" customWidth="1"/>
    <col min="15" max="15" width="8.81640625" bestFit="1" customWidth="1"/>
  </cols>
  <sheetData>
    <row r="1" spans="1:11" ht="13" x14ac:dyDescent="0.3">
      <c r="A1" s="29" t="s">
        <v>2</v>
      </c>
      <c r="B1" s="30" t="s">
        <v>3</v>
      </c>
      <c r="C1" s="31" t="s">
        <v>1708</v>
      </c>
      <c r="D1" s="31" t="s">
        <v>1709</v>
      </c>
      <c r="E1" s="31" t="s">
        <v>1711</v>
      </c>
      <c r="F1" s="31" t="s">
        <v>1710</v>
      </c>
      <c r="H1" s="34" t="s">
        <v>1705</v>
      </c>
      <c r="I1" s="36">
        <f>B121</f>
        <v>8.8323529411764667</v>
      </c>
      <c r="J1" s="35"/>
      <c r="K1" s="32"/>
    </row>
    <row r="2" spans="1:11" x14ac:dyDescent="0.25">
      <c r="A2" s="27">
        <v>76.69</v>
      </c>
      <c r="B2" s="27">
        <v>9.26</v>
      </c>
      <c r="C2" s="26">
        <f>A2-$I$2</f>
        <v>0.94386554621844709</v>
      </c>
      <c r="D2" s="26">
        <f>B2-$I$1</f>
        <v>0.42764705882353304</v>
      </c>
      <c r="E2" s="26">
        <f>C2*D2</f>
        <v>0.40364132476518638</v>
      </c>
      <c r="F2" s="26">
        <f>D2^2</f>
        <v>0.18288200692041834</v>
      </c>
      <c r="H2" s="34" t="s">
        <v>1706</v>
      </c>
      <c r="I2" s="36">
        <f>A121</f>
        <v>75.746134453781551</v>
      </c>
      <c r="J2" s="35"/>
    </row>
    <row r="3" spans="1:11" x14ac:dyDescent="0.25">
      <c r="A3" s="27">
        <v>87.57</v>
      </c>
      <c r="B3" s="27">
        <v>11.95</v>
      </c>
      <c r="C3" s="26">
        <f t="shared" ref="C3:C66" si="0">A3-$I$2</f>
        <v>11.823865546218443</v>
      </c>
      <c r="D3" s="26">
        <f t="shared" ref="D3:D66" si="1">B3-$I$1</f>
        <v>3.1176470588235325</v>
      </c>
      <c r="E3" s="26">
        <f t="shared" ref="E3:E66" si="2">C3*D3</f>
        <v>36.86263964409283</v>
      </c>
      <c r="F3" s="26">
        <f t="shared" ref="F3:F66" si="3">D3^2</f>
        <v>9.7197231833910234</v>
      </c>
      <c r="H3" s="34" t="s">
        <v>1712</v>
      </c>
      <c r="I3" s="36">
        <f>E121</f>
        <v>917.66998235294102</v>
      </c>
      <c r="J3" s="35"/>
    </row>
    <row r="4" spans="1:11" x14ac:dyDescent="0.25">
      <c r="A4" s="27">
        <v>84.76</v>
      </c>
      <c r="B4" s="27">
        <v>11.99</v>
      </c>
      <c r="C4" s="26">
        <f t="shared" si="0"/>
        <v>9.0138655462184545</v>
      </c>
      <c r="D4" s="26">
        <f t="shared" si="1"/>
        <v>3.1576470588235335</v>
      </c>
      <c r="E4" s="26">
        <f t="shared" si="2"/>
        <v>28.462606030647486</v>
      </c>
      <c r="F4" s="26">
        <f t="shared" si="3"/>
        <v>9.9707349480969114</v>
      </c>
      <c r="H4" s="34" t="s">
        <v>1713</v>
      </c>
      <c r="I4" s="36">
        <f>F121</f>
        <v>319.19214117647056</v>
      </c>
      <c r="J4" s="35"/>
    </row>
    <row r="5" spans="1:11" x14ac:dyDescent="0.25">
      <c r="A5" s="27">
        <v>83.75</v>
      </c>
      <c r="B5" s="27">
        <v>11.61</v>
      </c>
      <c r="C5" s="26">
        <f t="shared" si="0"/>
        <v>8.0038655462184494</v>
      </c>
      <c r="D5" s="26">
        <f t="shared" si="1"/>
        <v>2.7776470588235327</v>
      </c>
      <c r="E5" s="26">
        <f t="shared" si="2"/>
        <v>22.231913593672683</v>
      </c>
      <c r="F5" s="26">
        <f t="shared" si="3"/>
        <v>7.7153231833910221</v>
      </c>
      <c r="H5" s="34" t="s">
        <v>1707</v>
      </c>
      <c r="I5" s="36">
        <f>I3/I4</f>
        <v>2.8749767427563082</v>
      </c>
      <c r="J5" s="35"/>
    </row>
    <row r="6" spans="1:11" x14ac:dyDescent="0.25">
      <c r="A6" s="27">
        <v>84.4</v>
      </c>
      <c r="B6" s="27">
        <v>11.24</v>
      </c>
      <c r="C6" s="26">
        <f t="shared" si="0"/>
        <v>8.6538655462184551</v>
      </c>
      <c r="D6" s="26">
        <f t="shared" si="1"/>
        <v>2.4076470588235335</v>
      </c>
      <c r="E6" s="26">
        <f t="shared" si="2"/>
        <v>20.835453929807173</v>
      </c>
      <c r="F6" s="26">
        <f t="shared" si="3"/>
        <v>5.7967643598616112</v>
      </c>
      <c r="H6" s="34" t="s">
        <v>1714</v>
      </c>
      <c r="I6" s="36">
        <f>I2-I5*I1</f>
        <v>50.353325164083934</v>
      </c>
      <c r="J6" s="35"/>
    </row>
    <row r="7" spans="1:11" x14ac:dyDescent="0.25">
      <c r="A7" s="27">
        <v>82.13</v>
      </c>
      <c r="B7" s="27">
        <v>10.85</v>
      </c>
      <c r="C7" s="26">
        <f t="shared" si="0"/>
        <v>6.3838655462184448</v>
      </c>
      <c r="D7" s="26">
        <f t="shared" si="1"/>
        <v>2.0176470588235329</v>
      </c>
      <c r="E7" s="26">
        <f t="shared" si="2"/>
        <v>12.880387543252532</v>
      </c>
      <c r="F7" s="26">
        <f t="shared" si="3"/>
        <v>4.0708996539792528</v>
      </c>
      <c r="G7" s="33"/>
      <c r="H7" s="37"/>
      <c r="I7" s="38"/>
      <c r="J7" s="39"/>
    </row>
    <row r="8" spans="1:11" x14ac:dyDescent="0.25">
      <c r="A8" s="27">
        <v>73.63</v>
      </c>
      <c r="B8" s="27">
        <v>8.89</v>
      </c>
      <c r="C8" s="26">
        <f t="shared" si="0"/>
        <v>-2.1161344537815552</v>
      </c>
      <c r="D8" s="26">
        <f t="shared" si="1"/>
        <v>5.7647058823533825E-2</v>
      </c>
      <c r="E8" s="26">
        <f t="shared" si="2"/>
        <v>-0.12198892733565193</v>
      </c>
      <c r="F8" s="26">
        <f t="shared" si="3"/>
        <v>3.3231833910039692E-3</v>
      </c>
      <c r="H8" s="40" t="s">
        <v>1716</v>
      </c>
      <c r="I8" s="36" t="s">
        <v>1715</v>
      </c>
      <c r="J8" s="36"/>
    </row>
    <row r="9" spans="1:11" x14ac:dyDescent="0.25">
      <c r="A9" s="27">
        <v>70.180000000000007</v>
      </c>
      <c r="B9" s="27">
        <v>7.75</v>
      </c>
      <c r="C9" s="26">
        <f t="shared" si="0"/>
        <v>-5.5661344537815438</v>
      </c>
      <c r="D9" s="26">
        <f t="shared" si="1"/>
        <v>-1.0823529411764667</v>
      </c>
      <c r="E9" s="26">
        <f t="shared" si="2"/>
        <v>6.0245219970341202</v>
      </c>
      <c r="F9" s="26">
        <f t="shared" si="3"/>
        <v>1.171487889273348</v>
      </c>
    </row>
    <row r="10" spans="1:11" x14ac:dyDescent="0.25">
      <c r="A10" s="27">
        <v>68.89</v>
      </c>
      <c r="B10" s="27">
        <v>7.91</v>
      </c>
      <c r="C10" s="26">
        <f t="shared" si="0"/>
        <v>-6.8561344537815501</v>
      </c>
      <c r="D10" s="26">
        <f t="shared" si="1"/>
        <v>-0.9223529411764666</v>
      </c>
      <c r="E10" s="26">
        <f t="shared" si="2"/>
        <v>6.3237757785467199</v>
      </c>
      <c r="F10" s="26">
        <f t="shared" si="3"/>
        <v>0.85073494809687844</v>
      </c>
    </row>
    <row r="11" spans="1:11" x14ac:dyDescent="0.25">
      <c r="A11" s="27">
        <v>74.59</v>
      </c>
      <c r="B11" s="27">
        <v>9.4499999999999993</v>
      </c>
      <c r="C11" s="26">
        <f t="shared" si="0"/>
        <v>-1.1561344537815472</v>
      </c>
      <c r="D11" s="26">
        <f t="shared" si="1"/>
        <v>0.61764705882353255</v>
      </c>
      <c r="E11" s="26">
        <f t="shared" si="2"/>
        <v>-0.71408304498272401</v>
      </c>
      <c r="F11" s="26">
        <f t="shared" si="3"/>
        <v>0.38148788927336025</v>
      </c>
    </row>
    <row r="12" spans="1:11" x14ac:dyDescent="0.25">
      <c r="A12" s="27">
        <v>69.91</v>
      </c>
      <c r="B12" s="27">
        <v>8.31</v>
      </c>
      <c r="C12" s="26">
        <f t="shared" si="0"/>
        <v>-5.836134453781554</v>
      </c>
      <c r="D12" s="26">
        <f t="shared" si="1"/>
        <v>-0.52235294117646625</v>
      </c>
      <c r="E12" s="26">
        <f t="shared" si="2"/>
        <v>3.0485219970341042</v>
      </c>
      <c r="F12" s="26">
        <f t="shared" si="3"/>
        <v>0.27285259515570481</v>
      </c>
    </row>
    <row r="13" spans="1:11" x14ac:dyDescent="0.25">
      <c r="A13" s="27">
        <v>69.98</v>
      </c>
      <c r="B13" s="27">
        <v>8.32</v>
      </c>
      <c r="C13" s="26">
        <f t="shared" si="0"/>
        <v>-5.7661344537815467</v>
      </c>
      <c r="D13" s="26">
        <f t="shared" si="1"/>
        <v>-0.51235294117646646</v>
      </c>
      <c r="E13" s="26">
        <f t="shared" si="2"/>
        <v>2.9542959466139331</v>
      </c>
      <c r="F13" s="26">
        <f t="shared" si="3"/>
        <v>0.26250553633217572</v>
      </c>
    </row>
    <row r="14" spans="1:11" x14ac:dyDescent="0.25">
      <c r="A14" s="27">
        <v>73.64</v>
      </c>
      <c r="B14" s="27">
        <v>8.33</v>
      </c>
      <c r="C14" s="26">
        <f t="shared" si="0"/>
        <v>-2.1061344537815501</v>
      </c>
      <c r="D14" s="26">
        <f t="shared" si="1"/>
        <v>-0.50235294117646667</v>
      </c>
      <c r="E14" s="26">
        <f t="shared" si="2"/>
        <v>1.0580228373702527</v>
      </c>
      <c r="F14" s="26">
        <f t="shared" si="3"/>
        <v>0.25235847750864659</v>
      </c>
    </row>
    <row r="15" spans="1:11" x14ac:dyDescent="0.25">
      <c r="A15" s="27">
        <v>71.56</v>
      </c>
      <c r="B15" s="27">
        <v>8.18</v>
      </c>
      <c r="C15" s="26">
        <f t="shared" si="0"/>
        <v>-4.1861344537815484</v>
      </c>
      <c r="D15" s="26">
        <f t="shared" si="1"/>
        <v>-0.65235294117646703</v>
      </c>
      <c r="E15" s="26">
        <f t="shared" si="2"/>
        <v>2.7308371230845365</v>
      </c>
      <c r="F15" s="26">
        <f t="shared" si="3"/>
        <v>0.42556435986158703</v>
      </c>
    </row>
    <row r="16" spans="1:11" x14ac:dyDescent="0.25">
      <c r="A16" s="27">
        <v>72.3</v>
      </c>
      <c r="B16" s="27">
        <v>8.06</v>
      </c>
      <c r="C16" s="26">
        <f t="shared" si="0"/>
        <v>-3.4461344537815535</v>
      </c>
      <c r="D16" s="26">
        <f t="shared" si="1"/>
        <v>-0.77235294117646625</v>
      </c>
      <c r="E16" s="26">
        <f t="shared" si="2"/>
        <v>2.6616320810677379</v>
      </c>
      <c r="F16" s="26">
        <f t="shared" si="3"/>
        <v>0.59652906574393794</v>
      </c>
    </row>
    <row r="17" spans="1:6" x14ac:dyDescent="0.25">
      <c r="A17" s="27">
        <v>71.37</v>
      </c>
      <c r="B17" s="27">
        <v>7.99</v>
      </c>
      <c r="C17" s="26">
        <f t="shared" si="0"/>
        <v>-4.3761344537815461</v>
      </c>
      <c r="D17" s="26">
        <f t="shared" si="1"/>
        <v>-0.84235294117646653</v>
      </c>
      <c r="E17" s="26">
        <f t="shared" si="2"/>
        <v>3.6862497281265552</v>
      </c>
      <c r="F17" s="26">
        <f t="shared" si="3"/>
        <v>0.70955847750864365</v>
      </c>
    </row>
    <row r="18" spans="1:6" x14ac:dyDescent="0.25">
      <c r="A18" s="27">
        <v>74.569999999999993</v>
      </c>
      <c r="B18" s="27">
        <v>8.86</v>
      </c>
      <c r="C18" s="26">
        <f t="shared" si="0"/>
        <v>-1.1761344537815575</v>
      </c>
      <c r="D18" s="26">
        <f t="shared" si="1"/>
        <v>2.7647058823532689E-2</v>
      </c>
      <c r="E18" s="26">
        <f t="shared" si="2"/>
        <v>-3.2516658428082205E-2</v>
      </c>
      <c r="F18" s="26">
        <f t="shared" si="3"/>
        <v>7.6435986159187667E-4</v>
      </c>
    </row>
    <row r="19" spans="1:6" x14ac:dyDescent="0.25">
      <c r="A19" s="27">
        <v>70.72</v>
      </c>
      <c r="B19" s="27">
        <v>7.45</v>
      </c>
      <c r="C19" s="26">
        <f t="shared" si="0"/>
        <v>-5.0261344537815518</v>
      </c>
      <c r="D19" s="26">
        <f t="shared" si="1"/>
        <v>-1.3823529411764666</v>
      </c>
      <c r="E19" s="26">
        <f t="shared" si="2"/>
        <v>6.9478917449333011</v>
      </c>
      <c r="F19" s="26">
        <f t="shared" si="3"/>
        <v>1.9108996539792276</v>
      </c>
    </row>
    <row r="20" spans="1:6" x14ac:dyDescent="0.25">
      <c r="A20" s="27">
        <v>72.05</v>
      </c>
      <c r="B20" s="27">
        <v>7.88</v>
      </c>
      <c r="C20" s="26">
        <f t="shared" si="0"/>
        <v>-3.6961344537815535</v>
      </c>
      <c r="D20" s="26">
        <f t="shared" si="1"/>
        <v>-0.95235294117646685</v>
      </c>
      <c r="E20" s="26">
        <f t="shared" si="2"/>
        <v>3.5200245180425362</v>
      </c>
      <c r="F20" s="26">
        <f t="shared" si="3"/>
        <v>0.9069761245674669</v>
      </c>
    </row>
    <row r="21" spans="1:6" x14ac:dyDescent="0.25">
      <c r="A21" s="27">
        <v>73.989999999999995</v>
      </c>
      <c r="B21" s="27">
        <v>8.4</v>
      </c>
      <c r="C21" s="26">
        <f t="shared" si="0"/>
        <v>-1.7561344537815557</v>
      </c>
      <c r="D21" s="26">
        <f t="shared" si="1"/>
        <v>-0.43235294117646639</v>
      </c>
      <c r="E21" s="26">
        <f t="shared" si="2"/>
        <v>0.75926989619378293</v>
      </c>
      <c r="F21" s="26">
        <f t="shared" si="3"/>
        <v>0.186929065743941</v>
      </c>
    </row>
    <row r="22" spans="1:6" x14ac:dyDescent="0.25">
      <c r="A22" s="27">
        <v>73.819999999999993</v>
      </c>
      <c r="B22" s="27">
        <v>8.5399999999999991</v>
      </c>
      <c r="C22" s="26">
        <f t="shared" si="0"/>
        <v>-1.9261344537815575</v>
      </c>
      <c r="D22" s="26">
        <f t="shared" si="1"/>
        <v>-0.2923529411764676</v>
      </c>
      <c r="E22" s="26">
        <f t="shared" si="2"/>
        <v>0.56311107266436722</v>
      </c>
      <c r="F22" s="26">
        <f t="shared" si="3"/>
        <v>8.5470242214531117E-2</v>
      </c>
    </row>
    <row r="23" spans="1:6" x14ac:dyDescent="0.25">
      <c r="A23" s="27">
        <v>76.8</v>
      </c>
      <c r="B23" s="27">
        <v>10.19</v>
      </c>
      <c r="C23" s="26">
        <f t="shared" si="0"/>
        <v>1.0538655462184465</v>
      </c>
      <c r="D23" s="26">
        <f t="shared" si="1"/>
        <v>1.3576470588235328</v>
      </c>
      <c r="E23" s="26">
        <f t="shared" si="2"/>
        <v>1.4307774592189297</v>
      </c>
      <c r="F23" s="26">
        <f t="shared" si="3"/>
        <v>1.8432055363321891</v>
      </c>
    </row>
    <row r="24" spans="1:6" x14ac:dyDescent="0.25">
      <c r="A24" s="27">
        <v>70.77</v>
      </c>
      <c r="B24" s="27">
        <v>8.57</v>
      </c>
      <c r="C24" s="26">
        <f t="shared" si="0"/>
        <v>-4.9761344537815546</v>
      </c>
      <c r="D24" s="26">
        <f t="shared" si="1"/>
        <v>-0.26235294117646646</v>
      </c>
      <c r="E24" s="26">
        <f t="shared" si="2"/>
        <v>1.3055035096391403</v>
      </c>
      <c r="F24" s="26">
        <f t="shared" si="3"/>
        <v>6.8829065743942472E-2</v>
      </c>
    </row>
    <row r="25" spans="1:6" x14ac:dyDescent="0.25">
      <c r="A25" s="27">
        <v>71.03</v>
      </c>
      <c r="B25" s="27">
        <v>8.4700000000000006</v>
      </c>
      <c r="C25" s="26">
        <f t="shared" si="0"/>
        <v>-4.7161344537815495</v>
      </c>
      <c r="D25" s="26">
        <f t="shared" si="1"/>
        <v>-0.3623529411764661</v>
      </c>
      <c r="E25" s="26">
        <f t="shared" si="2"/>
        <v>1.708905190311411</v>
      </c>
      <c r="F25" s="26">
        <f t="shared" si="3"/>
        <v>0.13129965397923551</v>
      </c>
    </row>
    <row r="26" spans="1:6" x14ac:dyDescent="0.25">
      <c r="A26" s="27">
        <v>79.03</v>
      </c>
      <c r="B26" s="27">
        <v>10.79</v>
      </c>
      <c r="C26" s="26">
        <f t="shared" si="0"/>
        <v>3.2838655462184505</v>
      </c>
      <c r="D26" s="26">
        <f t="shared" si="1"/>
        <v>1.9576470588235324</v>
      </c>
      <c r="E26" s="26">
        <f t="shared" si="2"/>
        <v>6.4286497281264827</v>
      </c>
      <c r="F26" s="26">
        <f t="shared" si="3"/>
        <v>3.8323820069204269</v>
      </c>
    </row>
    <row r="27" spans="1:6" x14ac:dyDescent="0.25">
      <c r="A27" s="27">
        <v>77.69</v>
      </c>
      <c r="B27" s="27">
        <v>10.44</v>
      </c>
      <c r="C27" s="26">
        <f t="shared" si="0"/>
        <v>1.9438655462184471</v>
      </c>
      <c r="D27" s="26">
        <f t="shared" si="1"/>
        <v>1.6076470588235328</v>
      </c>
      <c r="E27" s="26">
        <f t="shared" si="2"/>
        <v>3.1250497281264864</v>
      </c>
      <c r="F27" s="26">
        <f t="shared" si="3"/>
        <v>2.5845290657439555</v>
      </c>
    </row>
    <row r="28" spans="1:6" x14ac:dyDescent="0.25">
      <c r="A28" s="27">
        <v>83.75</v>
      </c>
      <c r="B28" s="27">
        <v>11.05</v>
      </c>
      <c r="C28" s="26">
        <f t="shared" si="0"/>
        <v>8.0038655462184494</v>
      </c>
      <c r="D28" s="26">
        <f t="shared" si="1"/>
        <v>2.217647058823534</v>
      </c>
      <c r="E28" s="26">
        <f t="shared" si="2"/>
        <v>17.749748887790361</v>
      </c>
      <c r="F28" s="26">
        <f t="shared" si="3"/>
        <v>4.9179584775086704</v>
      </c>
    </row>
    <row r="29" spans="1:6" x14ac:dyDescent="0.25">
      <c r="A29" s="27">
        <v>78.09</v>
      </c>
      <c r="B29" s="27">
        <v>10.66</v>
      </c>
      <c r="C29" s="26">
        <f t="shared" si="0"/>
        <v>2.3438655462184528</v>
      </c>
      <c r="D29" s="26">
        <f t="shared" si="1"/>
        <v>1.8276470588235334</v>
      </c>
      <c r="E29" s="26">
        <f t="shared" si="2"/>
        <v>4.2837589718239695</v>
      </c>
      <c r="F29" s="26">
        <f t="shared" si="3"/>
        <v>3.3402937716263121</v>
      </c>
    </row>
    <row r="30" spans="1:6" x14ac:dyDescent="0.25">
      <c r="A30" s="27">
        <v>83.55</v>
      </c>
      <c r="B30" s="27">
        <v>11.9</v>
      </c>
      <c r="C30" s="26">
        <f t="shared" si="0"/>
        <v>7.8038655462184465</v>
      </c>
      <c r="D30" s="26">
        <f t="shared" si="1"/>
        <v>3.0676470588235336</v>
      </c>
      <c r="E30" s="26">
        <f t="shared" si="2"/>
        <v>23.939505190311326</v>
      </c>
      <c r="F30" s="26">
        <f t="shared" si="3"/>
        <v>9.4104584775086764</v>
      </c>
    </row>
    <row r="31" spans="1:6" x14ac:dyDescent="0.25">
      <c r="A31" s="27">
        <v>83.05</v>
      </c>
      <c r="B31" s="27">
        <v>11.58</v>
      </c>
      <c r="C31" s="26">
        <f t="shared" si="0"/>
        <v>7.3038655462184465</v>
      </c>
      <c r="D31" s="26">
        <f t="shared" si="1"/>
        <v>2.7476470588235333</v>
      </c>
      <c r="E31" s="26">
        <f t="shared" si="2"/>
        <v>20.068444686109654</v>
      </c>
      <c r="F31" s="26">
        <f t="shared" si="3"/>
        <v>7.5495643598616136</v>
      </c>
    </row>
    <row r="32" spans="1:6" x14ac:dyDescent="0.25">
      <c r="A32" s="27">
        <v>80.3</v>
      </c>
      <c r="B32" s="27">
        <v>11.47</v>
      </c>
      <c r="C32" s="26">
        <f t="shared" si="0"/>
        <v>4.5538655462184465</v>
      </c>
      <c r="D32" s="26">
        <f t="shared" si="1"/>
        <v>2.6376470588235339</v>
      </c>
      <c r="E32" s="26">
        <f t="shared" si="2"/>
        <v>12.011490064260911</v>
      </c>
      <c r="F32" s="26">
        <f t="shared" si="3"/>
        <v>6.9571820069204389</v>
      </c>
    </row>
    <row r="33" spans="1:6" x14ac:dyDescent="0.25">
      <c r="A33" s="27">
        <v>76.03</v>
      </c>
      <c r="B33" s="27">
        <v>9.86</v>
      </c>
      <c r="C33" s="26">
        <f t="shared" si="0"/>
        <v>0.2838655462184505</v>
      </c>
      <c r="D33" s="26">
        <f t="shared" si="1"/>
        <v>1.0276470588235327</v>
      </c>
      <c r="E33" s="26">
        <f t="shared" si="2"/>
        <v>0.29171359367272626</v>
      </c>
      <c r="F33" s="26">
        <f t="shared" si="3"/>
        <v>1.0560584775086572</v>
      </c>
    </row>
    <row r="34" spans="1:6" x14ac:dyDescent="0.25">
      <c r="A34" s="27">
        <v>75.010000000000005</v>
      </c>
      <c r="B34" s="27">
        <v>9.15</v>
      </c>
      <c r="C34" s="26">
        <f t="shared" si="0"/>
        <v>-0.73613445378154552</v>
      </c>
      <c r="D34" s="26">
        <f t="shared" si="1"/>
        <v>0.31764705882353361</v>
      </c>
      <c r="E34" s="26">
        <f t="shared" si="2"/>
        <v>-0.23383094414237637</v>
      </c>
      <c r="F34" s="26">
        <f t="shared" si="3"/>
        <v>0.10089965397924142</v>
      </c>
    </row>
    <row r="35" spans="1:6" x14ac:dyDescent="0.25">
      <c r="A35" s="27">
        <v>72.55</v>
      </c>
      <c r="B35" s="27">
        <v>7.4</v>
      </c>
      <c r="C35" s="26">
        <f t="shared" si="0"/>
        <v>-3.1961344537815535</v>
      </c>
      <c r="D35" s="26">
        <f t="shared" si="1"/>
        <v>-1.4323529411764664</v>
      </c>
      <c r="E35" s="26">
        <f t="shared" si="2"/>
        <v>4.5779925852694472</v>
      </c>
      <c r="F35" s="26">
        <f t="shared" si="3"/>
        <v>2.0516349480968739</v>
      </c>
    </row>
    <row r="36" spans="1:6" x14ac:dyDescent="0.25">
      <c r="A36" s="27">
        <v>74.52</v>
      </c>
      <c r="B36" s="27">
        <v>7.91</v>
      </c>
      <c r="C36" s="26">
        <f t="shared" si="0"/>
        <v>-1.2261344537815546</v>
      </c>
      <c r="D36" s="26">
        <f t="shared" si="1"/>
        <v>-0.9223529411764666</v>
      </c>
      <c r="E36" s="26">
        <f t="shared" si="2"/>
        <v>1.1309287197232172</v>
      </c>
      <c r="F36" s="26">
        <f t="shared" si="3"/>
        <v>0.85073494809687844</v>
      </c>
    </row>
    <row r="37" spans="1:6" x14ac:dyDescent="0.25">
      <c r="A37" s="27">
        <v>70.97</v>
      </c>
      <c r="B37" s="27">
        <v>7.36</v>
      </c>
      <c r="C37" s="26">
        <f t="shared" si="0"/>
        <v>-4.7761344537815518</v>
      </c>
      <c r="D37" s="26">
        <f t="shared" si="1"/>
        <v>-1.4723529411764664</v>
      </c>
      <c r="E37" s="26">
        <f t="shared" si="2"/>
        <v>7.0321556104795233</v>
      </c>
      <c r="F37" s="26">
        <f t="shared" si="3"/>
        <v>2.1678231833909911</v>
      </c>
    </row>
    <row r="38" spans="1:6" x14ac:dyDescent="0.25">
      <c r="A38" s="27">
        <v>69.62</v>
      </c>
      <c r="B38" s="27">
        <v>6.87</v>
      </c>
      <c r="C38" s="26">
        <f t="shared" si="0"/>
        <v>-6.1261344537815461</v>
      </c>
      <c r="D38" s="26">
        <f t="shared" si="1"/>
        <v>-1.9623529411764666</v>
      </c>
      <c r="E38" s="26">
        <f t="shared" si="2"/>
        <v>12.021637963420703</v>
      </c>
      <c r="F38" s="26">
        <f t="shared" si="3"/>
        <v>3.850829065743929</v>
      </c>
    </row>
    <row r="39" spans="1:6" x14ac:dyDescent="0.25">
      <c r="A39" s="27">
        <v>72.48</v>
      </c>
      <c r="B39" s="27">
        <v>7.87</v>
      </c>
      <c r="C39" s="26">
        <f t="shared" si="0"/>
        <v>-3.2661344537815467</v>
      </c>
      <c r="D39" s="26">
        <f t="shared" si="1"/>
        <v>-0.96235294117646664</v>
      </c>
      <c r="E39" s="26">
        <f t="shared" si="2"/>
        <v>3.1431740978744638</v>
      </c>
      <c r="F39" s="26">
        <f t="shared" si="3"/>
        <v>0.92612318339099586</v>
      </c>
    </row>
    <row r="40" spans="1:6" x14ac:dyDescent="0.25">
      <c r="A40" s="27">
        <v>75.16</v>
      </c>
      <c r="B40" s="27">
        <v>8.65</v>
      </c>
      <c r="C40" s="26">
        <f t="shared" si="0"/>
        <v>-0.58613445378155404</v>
      </c>
      <c r="D40" s="26">
        <f t="shared" si="1"/>
        <v>-0.18235294117646639</v>
      </c>
      <c r="E40" s="26">
        <f t="shared" si="2"/>
        <v>0.10688334157192798</v>
      </c>
      <c r="F40" s="26">
        <f t="shared" si="3"/>
        <v>3.3252595155707811E-2</v>
      </c>
    </row>
    <row r="41" spans="1:6" x14ac:dyDescent="0.25">
      <c r="A41" s="27">
        <v>70.63</v>
      </c>
      <c r="B41" s="27">
        <v>6.9</v>
      </c>
      <c r="C41" s="26">
        <f t="shared" si="0"/>
        <v>-5.1161344537815552</v>
      </c>
      <c r="D41" s="26">
        <f t="shared" si="1"/>
        <v>-1.9323529411764664</v>
      </c>
      <c r="E41" s="26">
        <f t="shared" si="2"/>
        <v>9.8861774592190432</v>
      </c>
      <c r="F41" s="26">
        <f t="shared" si="3"/>
        <v>3.7339878892733402</v>
      </c>
    </row>
    <row r="42" spans="1:6" x14ac:dyDescent="0.25">
      <c r="A42" s="27">
        <v>72.099999999999994</v>
      </c>
      <c r="B42" s="27">
        <v>7.83</v>
      </c>
      <c r="C42" s="26">
        <f t="shared" si="0"/>
        <v>-3.6461344537815563</v>
      </c>
      <c r="D42" s="26">
        <f t="shared" si="1"/>
        <v>-1.0023529411764667</v>
      </c>
      <c r="E42" s="26">
        <f t="shared" si="2"/>
        <v>3.6547135936727928</v>
      </c>
      <c r="F42" s="26">
        <f t="shared" si="3"/>
        <v>1.0047114186851132</v>
      </c>
    </row>
    <row r="43" spans="1:6" x14ac:dyDescent="0.25">
      <c r="A43" s="27">
        <v>75.959999999999994</v>
      </c>
      <c r="B43" s="27">
        <v>8.17</v>
      </c>
      <c r="C43" s="26">
        <f t="shared" si="0"/>
        <v>0.21386554621844311</v>
      </c>
      <c r="D43" s="26">
        <f t="shared" si="1"/>
        <v>-0.66235294117646681</v>
      </c>
      <c r="E43" s="26">
        <f t="shared" si="2"/>
        <v>-0.14165447355409741</v>
      </c>
      <c r="F43" s="26">
        <f t="shared" si="3"/>
        <v>0.43871141868511609</v>
      </c>
    </row>
    <row r="44" spans="1:6" x14ac:dyDescent="0.25">
      <c r="A44" s="27">
        <v>78.16</v>
      </c>
      <c r="B44" s="27">
        <v>9.2899999999999991</v>
      </c>
      <c r="C44" s="26">
        <f t="shared" si="0"/>
        <v>2.413865546218446</v>
      </c>
      <c r="D44" s="26">
        <f t="shared" si="1"/>
        <v>0.4576470588235324</v>
      </c>
      <c r="E44" s="26">
        <f t="shared" si="2"/>
        <v>1.1046984676223313</v>
      </c>
      <c r="F44" s="26">
        <f t="shared" si="3"/>
        <v>0.20944083044982972</v>
      </c>
    </row>
    <row r="45" spans="1:6" x14ac:dyDescent="0.25">
      <c r="A45" s="27">
        <v>79.3</v>
      </c>
      <c r="B45" s="27">
        <v>10.01</v>
      </c>
      <c r="C45" s="26">
        <f t="shared" si="0"/>
        <v>3.5538655462184465</v>
      </c>
      <c r="D45" s="26">
        <f t="shared" si="1"/>
        <v>1.177647058823533</v>
      </c>
      <c r="E45" s="26">
        <f t="shared" si="2"/>
        <v>4.1851993079584426</v>
      </c>
      <c r="F45" s="26">
        <f t="shared" si="3"/>
        <v>1.3868525951557178</v>
      </c>
    </row>
    <row r="46" spans="1:6" x14ac:dyDescent="0.25">
      <c r="A46" s="27">
        <v>72.540000000000006</v>
      </c>
      <c r="B46" s="27">
        <v>7.68</v>
      </c>
      <c r="C46" s="26">
        <f t="shared" si="0"/>
        <v>-3.2061344537815444</v>
      </c>
      <c r="D46" s="26">
        <f t="shared" si="1"/>
        <v>-1.152352941176467</v>
      </c>
      <c r="E46" s="26">
        <f t="shared" si="2"/>
        <v>3.6945984676223684</v>
      </c>
      <c r="F46" s="26">
        <f t="shared" si="3"/>
        <v>1.3279173010380541</v>
      </c>
    </row>
    <row r="47" spans="1:6" x14ac:dyDescent="0.25">
      <c r="A47" s="27">
        <v>78.11</v>
      </c>
      <c r="B47" s="27">
        <v>9.26</v>
      </c>
      <c r="C47" s="26">
        <f t="shared" si="0"/>
        <v>2.3638655462184488</v>
      </c>
      <c r="D47" s="26">
        <f t="shared" si="1"/>
        <v>0.42764705882353304</v>
      </c>
      <c r="E47" s="26">
        <f t="shared" si="2"/>
        <v>1.0109001482946041</v>
      </c>
      <c r="F47" s="26">
        <f t="shared" si="3"/>
        <v>0.18288200692041834</v>
      </c>
    </row>
    <row r="48" spans="1:6" x14ac:dyDescent="0.25">
      <c r="A48" s="27">
        <v>75.53</v>
      </c>
      <c r="B48" s="27">
        <v>7.88</v>
      </c>
      <c r="C48" s="26">
        <f t="shared" si="0"/>
        <v>-0.2161344537815495</v>
      </c>
      <c r="D48" s="26">
        <f t="shared" si="1"/>
        <v>-0.95235294117646685</v>
      </c>
      <c r="E48" s="26">
        <f t="shared" si="2"/>
        <v>0.2058362827484278</v>
      </c>
      <c r="F48" s="26">
        <f t="shared" si="3"/>
        <v>0.9069761245674669</v>
      </c>
    </row>
    <row r="49" spans="1:6" x14ac:dyDescent="0.25">
      <c r="A49" s="27">
        <v>72.02</v>
      </c>
      <c r="B49" s="27">
        <v>7.29</v>
      </c>
      <c r="C49" s="26">
        <f t="shared" si="0"/>
        <v>-3.7261344537815546</v>
      </c>
      <c r="D49" s="26">
        <f t="shared" si="1"/>
        <v>-1.5423529411764667</v>
      </c>
      <c r="E49" s="26">
        <f t="shared" si="2"/>
        <v>5.747014434008948</v>
      </c>
      <c r="F49" s="26">
        <f t="shared" si="3"/>
        <v>2.3788525951556974</v>
      </c>
    </row>
    <row r="50" spans="1:6" x14ac:dyDescent="0.25">
      <c r="A50" s="27">
        <v>71.42</v>
      </c>
      <c r="B50" s="27">
        <v>7.26</v>
      </c>
      <c r="C50" s="26">
        <f t="shared" si="0"/>
        <v>-4.3261344537815489</v>
      </c>
      <c r="D50" s="26">
        <f t="shared" si="1"/>
        <v>-1.572352941176467</v>
      </c>
      <c r="E50" s="26">
        <f t="shared" si="2"/>
        <v>6.8022102323282665</v>
      </c>
      <c r="F50" s="26">
        <f t="shared" si="3"/>
        <v>2.4722937716262861</v>
      </c>
    </row>
    <row r="51" spans="1:6" x14ac:dyDescent="0.25">
      <c r="A51" s="27">
        <v>72.53</v>
      </c>
      <c r="B51" s="27">
        <v>7.73</v>
      </c>
      <c r="C51" s="26">
        <f t="shared" si="0"/>
        <v>-3.2161344537815495</v>
      </c>
      <c r="D51" s="26">
        <f t="shared" si="1"/>
        <v>-1.1023529411764663</v>
      </c>
      <c r="E51" s="26">
        <f t="shared" si="2"/>
        <v>3.5453152743450591</v>
      </c>
      <c r="F51" s="26">
        <f t="shared" si="3"/>
        <v>1.2151820069204058</v>
      </c>
    </row>
    <row r="52" spans="1:6" x14ac:dyDescent="0.25">
      <c r="A52" s="27">
        <v>74.099999999999994</v>
      </c>
      <c r="B52" s="27">
        <v>7.82</v>
      </c>
      <c r="C52" s="26">
        <f t="shared" si="0"/>
        <v>-1.6461344537815563</v>
      </c>
      <c r="D52" s="26">
        <f t="shared" si="1"/>
        <v>-1.0123529411764665</v>
      </c>
      <c r="E52" s="26">
        <f t="shared" si="2"/>
        <v>1.6664690558576747</v>
      </c>
      <c r="F52" s="26">
        <f t="shared" si="3"/>
        <v>1.0248584775086422</v>
      </c>
    </row>
    <row r="53" spans="1:6" x14ac:dyDescent="0.25">
      <c r="A53" s="27">
        <v>77.209999999999994</v>
      </c>
      <c r="B53" s="27">
        <v>9.35</v>
      </c>
      <c r="C53" s="26">
        <f t="shared" si="0"/>
        <v>1.4638655462184431</v>
      </c>
      <c r="D53" s="26">
        <f t="shared" si="1"/>
        <v>0.5176470588235329</v>
      </c>
      <c r="E53" s="26">
        <f t="shared" si="2"/>
        <v>0.75776569451308151</v>
      </c>
      <c r="F53" s="26">
        <f t="shared" si="3"/>
        <v>0.26795847750865415</v>
      </c>
    </row>
    <row r="54" spans="1:6" x14ac:dyDescent="0.25">
      <c r="A54" s="27">
        <v>74.319999999999993</v>
      </c>
      <c r="B54" s="27">
        <v>8.27</v>
      </c>
      <c r="C54" s="26">
        <f t="shared" si="0"/>
        <v>-1.4261344537815575</v>
      </c>
      <c r="D54" s="26">
        <f t="shared" si="1"/>
        <v>-0.56235294117646717</v>
      </c>
      <c r="E54" s="26">
        <f t="shared" si="2"/>
        <v>0.80199090459715328</v>
      </c>
      <c r="F54" s="26">
        <f t="shared" si="3"/>
        <v>0.31624083044982315</v>
      </c>
    </row>
    <row r="55" spans="1:6" x14ac:dyDescent="0.25">
      <c r="A55" s="27">
        <v>74.569999999999993</v>
      </c>
      <c r="B55" s="27">
        <v>8.2799999999999994</v>
      </c>
      <c r="C55" s="26">
        <f t="shared" si="0"/>
        <v>-1.1761344537815575</v>
      </c>
      <c r="D55" s="26">
        <f t="shared" si="1"/>
        <v>-0.55235294117646738</v>
      </c>
      <c r="E55" s="26">
        <f t="shared" si="2"/>
        <v>0.64964132476522118</v>
      </c>
      <c r="F55" s="26">
        <f t="shared" si="3"/>
        <v>0.30509377162629403</v>
      </c>
    </row>
    <row r="56" spans="1:6" x14ac:dyDescent="0.25">
      <c r="A56" s="27">
        <v>75.67</v>
      </c>
      <c r="B56" s="27">
        <v>8.16</v>
      </c>
      <c r="C56" s="26">
        <f t="shared" si="0"/>
        <v>-7.6134453781548928E-2</v>
      </c>
      <c r="D56" s="26">
        <f t="shared" si="1"/>
        <v>-0.6723529411764666</v>
      </c>
      <c r="E56" s="26">
        <f t="shared" si="2"/>
        <v>5.1189223924888179E-2</v>
      </c>
      <c r="F56" s="26">
        <f t="shared" si="3"/>
        <v>0.45205847750864514</v>
      </c>
    </row>
    <row r="57" spans="1:6" x14ac:dyDescent="0.25">
      <c r="A57" s="27">
        <v>71.86</v>
      </c>
      <c r="B57" s="27">
        <v>7.53</v>
      </c>
      <c r="C57" s="26">
        <f t="shared" si="0"/>
        <v>-3.8861344537815512</v>
      </c>
      <c r="D57" s="26">
        <f t="shared" si="1"/>
        <v>-1.3023529411764665</v>
      </c>
      <c r="E57" s="26">
        <f t="shared" si="2"/>
        <v>5.0611186356896045</v>
      </c>
      <c r="F57" s="26">
        <f t="shared" si="3"/>
        <v>1.6961231833909929</v>
      </c>
    </row>
    <row r="58" spans="1:6" x14ac:dyDescent="0.25">
      <c r="A58" s="27">
        <v>74.34</v>
      </c>
      <c r="B58" s="27">
        <v>7.74</v>
      </c>
      <c r="C58" s="26">
        <f t="shared" si="0"/>
        <v>-1.4061344537815472</v>
      </c>
      <c r="D58" s="26">
        <f t="shared" si="1"/>
        <v>-1.0923529411764665</v>
      </c>
      <c r="E58" s="26">
        <f t="shared" si="2"/>
        <v>1.5359951062778374</v>
      </c>
      <c r="F58" s="26">
        <f t="shared" si="3"/>
        <v>1.1932349480968769</v>
      </c>
    </row>
    <row r="59" spans="1:6" x14ac:dyDescent="0.25">
      <c r="A59" s="27">
        <v>70.73</v>
      </c>
      <c r="B59" s="27">
        <v>7.08</v>
      </c>
      <c r="C59" s="26">
        <f t="shared" si="0"/>
        <v>-5.0161344537815467</v>
      </c>
      <c r="D59" s="26">
        <f t="shared" si="1"/>
        <v>-1.7523529411764667</v>
      </c>
      <c r="E59" s="26">
        <f t="shared" si="2"/>
        <v>8.7900379634207031</v>
      </c>
      <c r="F59" s="26">
        <f t="shared" si="3"/>
        <v>3.0707408304498132</v>
      </c>
    </row>
    <row r="60" spans="1:6" x14ac:dyDescent="0.25">
      <c r="A60" s="27">
        <v>71.95</v>
      </c>
      <c r="B60" s="27">
        <v>7.48</v>
      </c>
      <c r="C60" s="26">
        <f t="shared" si="0"/>
        <v>-3.7961344537815478</v>
      </c>
      <c r="D60" s="26">
        <f t="shared" si="1"/>
        <v>-1.3523529411764663</v>
      </c>
      <c r="E60" s="26">
        <f t="shared" si="2"/>
        <v>5.1337135936727947</v>
      </c>
      <c r="F60" s="26">
        <f t="shared" si="3"/>
        <v>1.8288584775086389</v>
      </c>
    </row>
    <row r="61" spans="1:6" x14ac:dyDescent="0.25">
      <c r="A61" s="27">
        <v>68.650000000000006</v>
      </c>
      <c r="B61" s="27">
        <v>6.56</v>
      </c>
      <c r="C61" s="26">
        <f t="shared" si="0"/>
        <v>-7.0961344537815449</v>
      </c>
      <c r="D61" s="26">
        <f t="shared" si="1"/>
        <v>-2.2723529411764671</v>
      </c>
      <c r="E61" s="26">
        <f t="shared" si="2"/>
        <v>16.124921997034157</v>
      </c>
      <c r="F61" s="26">
        <f t="shared" si="3"/>
        <v>5.1635878892733409</v>
      </c>
    </row>
    <row r="62" spans="1:6" x14ac:dyDescent="0.25">
      <c r="A62" s="27">
        <v>71.7</v>
      </c>
      <c r="B62" s="27">
        <v>7.36</v>
      </c>
      <c r="C62" s="26">
        <f t="shared" si="0"/>
        <v>-4.0461344537815478</v>
      </c>
      <c r="D62" s="26">
        <f t="shared" si="1"/>
        <v>-1.4723529411764664</v>
      </c>
      <c r="E62" s="26">
        <f t="shared" si="2"/>
        <v>5.9573379634206978</v>
      </c>
      <c r="F62" s="26">
        <f t="shared" si="3"/>
        <v>2.1678231833909911</v>
      </c>
    </row>
    <row r="63" spans="1:6" x14ac:dyDescent="0.25">
      <c r="A63" s="27">
        <v>70.180000000000007</v>
      </c>
      <c r="B63" s="27">
        <v>6.41</v>
      </c>
      <c r="C63" s="26">
        <f t="shared" si="0"/>
        <v>-5.5661344537815438</v>
      </c>
      <c r="D63" s="26">
        <f t="shared" si="1"/>
        <v>-2.4223529411764666</v>
      </c>
      <c r="E63" s="26">
        <f t="shared" si="2"/>
        <v>13.483142165101388</v>
      </c>
      <c r="F63" s="26">
        <f t="shared" si="3"/>
        <v>5.8677937716262782</v>
      </c>
    </row>
    <row r="64" spans="1:6" x14ac:dyDescent="0.25">
      <c r="A64" s="27">
        <v>82.15</v>
      </c>
      <c r="B64" s="27">
        <v>11.43</v>
      </c>
      <c r="C64" s="26">
        <f t="shared" si="0"/>
        <v>6.4038655462184551</v>
      </c>
      <c r="D64" s="26">
        <f t="shared" si="1"/>
        <v>2.597647058823533</v>
      </c>
      <c r="E64" s="26">
        <f t="shared" si="2"/>
        <v>16.634982501235726</v>
      </c>
      <c r="F64" s="26">
        <f t="shared" si="3"/>
        <v>6.7477702422145516</v>
      </c>
    </row>
    <row r="65" spans="1:6" x14ac:dyDescent="0.25">
      <c r="A65" s="27">
        <v>84.41</v>
      </c>
      <c r="B65" s="27">
        <v>11.25</v>
      </c>
      <c r="C65" s="26">
        <f t="shared" si="0"/>
        <v>8.663865546218446</v>
      </c>
      <c r="D65" s="26">
        <f t="shared" si="1"/>
        <v>2.4176470588235333</v>
      </c>
      <c r="E65" s="26">
        <f t="shared" si="2"/>
        <v>20.94616905585757</v>
      </c>
      <c r="F65" s="26">
        <f t="shared" si="3"/>
        <v>5.845017301038081</v>
      </c>
    </row>
    <row r="66" spans="1:6" x14ac:dyDescent="0.25">
      <c r="A66" s="27">
        <v>85.72</v>
      </c>
      <c r="B66" s="27">
        <v>11.48</v>
      </c>
      <c r="C66" s="26">
        <f t="shared" si="0"/>
        <v>9.9738655462184482</v>
      </c>
      <c r="D66" s="26">
        <f t="shared" si="1"/>
        <v>2.6476470588235337</v>
      </c>
      <c r="E66" s="26">
        <f t="shared" si="2"/>
        <v>26.407275778546651</v>
      </c>
      <c r="F66" s="26">
        <f t="shared" si="3"/>
        <v>7.0100349480969086</v>
      </c>
    </row>
    <row r="67" spans="1:6" x14ac:dyDescent="0.25">
      <c r="A67" s="27">
        <v>85.24</v>
      </c>
      <c r="B67" s="27">
        <v>11.05</v>
      </c>
      <c r="C67" s="26">
        <f t="shared" ref="C67:C120" si="4">A67-$I$2</f>
        <v>9.4938655462184443</v>
      </c>
      <c r="D67" s="26">
        <f t="shared" ref="D67:D120" si="5">B67-$I$1</f>
        <v>2.217647058823534</v>
      </c>
      <c r="E67" s="26">
        <f t="shared" ref="E67:E120" si="6">C67*D67</f>
        <v>21.054043005437418</v>
      </c>
      <c r="F67" s="26">
        <f t="shared" ref="F67:F119" si="7">D67^2</f>
        <v>4.9179584775086704</v>
      </c>
    </row>
    <row r="68" spans="1:6" x14ac:dyDescent="0.25">
      <c r="A68" s="27">
        <v>77.209999999999994</v>
      </c>
      <c r="B68" s="27">
        <v>9.34</v>
      </c>
      <c r="C68" s="26">
        <f t="shared" si="4"/>
        <v>1.4638655462184431</v>
      </c>
      <c r="D68" s="26">
        <f t="shared" si="5"/>
        <v>0.50764705882353311</v>
      </c>
      <c r="E68" s="26">
        <f t="shared" si="6"/>
        <v>0.74312703905089739</v>
      </c>
      <c r="F68" s="26">
        <f t="shared" si="7"/>
        <v>0.25770553633218368</v>
      </c>
    </row>
    <row r="69" spans="1:6" x14ac:dyDescent="0.25">
      <c r="A69" s="27">
        <v>77.5</v>
      </c>
      <c r="B69" s="27">
        <v>9.2799999999999994</v>
      </c>
      <c r="C69" s="26">
        <f t="shared" si="4"/>
        <v>1.7538655462184494</v>
      </c>
      <c r="D69" s="26">
        <f t="shared" si="5"/>
        <v>0.44764705882353262</v>
      </c>
      <c r="E69" s="26">
        <f t="shared" si="6"/>
        <v>0.78511275333661734</v>
      </c>
      <c r="F69" s="26">
        <f t="shared" si="7"/>
        <v>0.20038788927335927</v>
      </c>
    </row>
    <row r="70" spans="1:6" x14ac:dyDescent="0.25">
      <c r="A70" s="27">
        <v>76.180000000000007</v>
      </c>
      <c r="B70" s="27">
        <v>9.1999999999999993</v>
      </c>
      <c r="C70" s="26">
        <f t="shared" si="4"/>
        <v>0.43386554621845619</v>
      </c>
      <c r="D70" s="26">
        <f t="shared" si="5"/>
        <v>0.36764705882353255</v>
      </c>
      <c r="E70" s="26">
        <f t="shared" si="6"/>
        <v>0.15950939199208083</v>
      </c>
      <c r="F70" s="26">
        <f t="shared" si="7"/>
        <v>0.135164359861594</v>
      </c>
    </row>
    <row r="71" spans="1:6" x14ac:dyDescent="0.25">
      <c r="A71" s="27">
        <v>82.05</v>
      </c>
      <c r="B71" s="27">
        <v>9.81</v>
      </c>
      <c r="C71" s="26">
        <f t="shared" si="4"/>
        <v>6.3038655462184465</v>
      </c>
      <c r="D71" s="26">
        <f t="shared" si="5"/>
        <v>0.97764705882353375</v>
      </c>
      <c r="E71" s="26">
        <f t="shared" si="6"/>
        <v>6.1629556104794734</v>
      </c>
      <c r="F71" s="26">
        <f t="shared" si="7"/>
        <v>0.95579377162630608</v>
      </c>
    </row>
    <row r="72" spans="1:6" x14ac:dyDescent="0.25">
      <c r="A72" s="27">
        <v>72.14</v>
      </c>
      <c r="B72" s="27">
        <v>7.35</v>
      </c>
      <c r="C72" s="26">
        <f t="shared" si="4"/>
        <v>-3.6061344537815501</v>
      </c>
      <c r="D72" s="26">
        <f t="shared" si="5"/>
        <v>-1.4823529411764671</v>
      </c>
      <c r="E72" s="26">
        <f t="shared" si="6"/>
        <v>5.3455640138408738</v>
      </c>
      <c r="F72" s="26">
        <f t="shared" si="7"/>
        <v>2.1973702422145225</v>
      </c>
    </row>
    <row r="73" spans="1:6" x14ac:dyDescent="0.25">
      <c r="A73" s="27">
        <v>85.71</v>
      </c>
      <c r="B73" s="27">
        <v>11.33</v>
      </c>
      <c r="C73" s="26">
        <f t="shared" si="4"/>
        <v>9.9638655462184431</v>
      </c>
      <c r="D73" s="26">
        <f t="shared" si="5"/>
        <v>2.4976470588235333</v>
      </c>
      <c r="E73" s="26">
        <f t="shared" si="6"/>
        <v>24.886219476025634</v>
      </c>
      <c r="F73" s="26">
        <f t="shared" si="7"/>
        <v>6.2382408304498469</v>
      </c>
    </row>
    <row r="74" spans="1:6" x14ac:dyDescent="0.25">
      <c r="A74" s="27">
        <v>89.1</v>
      </c>
      <c r="B74" s="27">
        <v>12.12</v>
      </c>
      <c r="C74" s="26">
        <f t="shared" si="4"/>
        <v>13.353865546218444</v>
      </c>
      <c r="D74" s="26">
        <f t="shared" si="5"/>
        <v>3.2876470588235325</v>
      </c>
      <c r="E74" s="26">
        <f t="shared" si="6"/>
        <v>43.90279678694997</v>
      </c>
      <c r="F74" s="26">
        <f t="shared" si="7"/>
        <v>10.808623183391024</v>
      </c>
    </row>
    <row r="75" spans="1:6" x14ac:dyDescent="0.25">
      <c r="A75" s="27">
        <v>71.489999999999995</v>
      </c>
      <c r="B75" s="27">
        <v>7.9</v>
      </c>
      <c r="C75" s="26">
        <f t="shared" si="4"/>
        <v>-4.2561344537815557</v>
      </c>
      <c r="D75" s="26">
        <f t="shared" si="5"/>
        <v>-0.93235294117646639</v>
      </c>
      <c r="E75" s="26">
        <f t="shared" si="6"/>
        <v>3.9682194760257268</v>
      </c>
      <c r="F75" s="26">
        <f t="shared" si="7"/>
        <v>0.86928200692040736</v>
      </c>
    </row>
    <row r="76" spans="1:6" x14ac:dyDescent="0.25">
      <c r="A76" s="27">
        <v>73.7</v>
      </c>
      <c r="B76" s="27">
        <v>7.8</v>
      </c>
      <c r="C76" s="26">
        <f t="shared" si="4"/>
        <v>-2.0461344537815478</v>
      </c>
      <c r="D76" s="26">
        <f t="shared" si="5"/>
        <v>-1.0323529411764669</v>
      </c>
      <c r="E76" s="26">
        <f t="shared" si="6"/>
        <v>2.1123329214038846</v>
      </c>
      <c r="F76" s="26">
        <f t="shared" si="7"/>
        <v>1.0657525951557019</v>
      </c>
    </row>
    <row r="77" spans="1:6" x14ac:dyDescent="0.25">
      <c r="A77" s="27">
        <v>72.47</v>
      </c>
      <c r="B77" s="27">
        <v>7.92</v>
      </c>
      <c r="C77" s="26">
        <f t="shared" si="4"/>
        <v>-3.2761344537815518</v>
      </c>
      <c r="D77" s="26">
        <f t="shared" si="5"/>
        <v>-0.91235294117646681</v>
      </c>
      <c r="E77" s="26">
        <f t="shared" si="6"/>
        <v>2.9889909045971566</v>
      </c>
      <c r="F77" s="26">
        <f t="shared" si="7"/>
        <v>0.8323878892733495</v>
      </c>
    </row>
    <row r="78" spans="1:6" x14ac:dyDescent="0.25">
      <c r="A78" s="27">
        <v>75.13</v>
      </c>
      <c r="B78" s="27">
        <v>8.68</v>
      </c>
      <c r="C78" s="26">
        <f t="shared" si="4"/>
        <v>-0.61613445378155518</v>
      </c>
      <c r="D78" s="26">
        <f t="shared" si="5"/>
        <v>-0.15235294117646703</v>
      </c>
      <c r="E78" s="26">
        <f t="shared" si="6"/>
        <v>9.386989619377592E-2</v>
      </c>
      <c r="F78" s="26">
        <f t="shared" si="7"/>
        <v>2.3211418685120021E-2</v>
      </c>
    </row>
    <row r="79" spans="1:6" x14ac:dyDescent="0.25">
      <c r="A79" s="27">
        <v>73.44</v>
      </c>
      <c r="B79" s="27">
        <v>7.87</v>
      </c>
      <c r="C79" s="26">
        <f t="shared" si="4"/>
        <v>-2.3061344537815529</v>
      </c>
      <c r="D79" s="26">
        <f t="shared" si="5"/>
        <v>-0.96235294117646664</v>
      </c>
      <c r="E79" s="26">
        <f t="shared" si="6"/>
        <v>2.2193152743450617</v>
      </c>
      <c r="F79" s="26">
        <f t="shared" si="7"/>
        <v>0.92612318339099586</v>
      </c>
    </row>
    <row r="80" spans="1:6" x14ac:dyDescent="0.25">
      <c r="A80" s="27">
        <v>75.180000000000007</v>
      </c>
      <c r="B80" s="27">
        <v>8.26</v>
      </c>
      <c r="C80" s="26">
        <f t="shared" si="4"/>
        <v>-0.56613445378154381</v>
      </c>
      <c r="D80" s="26">
        <f t="shared" si="5"/>
        <v>-0.57235294117646696</v>
      </c>
      <c r="E80" s="26">
        <f t="shared" si="6"/>
        <v>0.32402871972319919</v>
      </c>
      <c r="F80" s="26">
        <f t="shared" si="7"/>
        <v>0.32758788927335225</v>
      </c>
    </row>
    <row r="81" spans="1:6" x14ac:dyDescent="0.25">
      <c r="A81" s="27">
        <v>73.53</v>
      </c>
      <c r="B81" s="27">
        <v>7.8</v>
      </c>
      <c r="C81" s="26">
        <f t="shared" si="4"/>
        <v>-2.2161344537815495</v>
      </c>
      <c r="D81" s="26">
        <f t="shared" si="5"/>
        <v>-1.0323529411764669</v>
      </c>
      <c r="E81" s="26">
        <f t="shared" si="6"/>
        <v>2.2878329214038855</v>
      </c>
      <c r="F81" s="26">
        <f t="shared" si="7"/>
        <v>1.0657525951557019</v>
      </c>
    </row>
    <row r="82" spans="1:6" x14ac:dyDescent="0.25">
      <c r="A82" s="27">
        <v>70.31</v>
      </c>
      <c r="B82" s="27">
        <v>7.27</v>
      </c>
      <c r="C82" s="26">
        <f t="shared" si="4"/>
        <v>-5.4361344537815484</v>
      </c>
      <c r="D82" s="26">
        <f t="shared" si="5"/>
        <v>-1.5623529411764672</v>
      </c>
      <c r="E82" s="26">
        <f t="shared" si="6"/>
        <v>8.4931606524963303</v>
      </c>
      <c r="F82" s="26">
        <f t="shared" si="7"/>
        <v>2.4409467128027575</v>
      </c>
    </row>
    <row r="83" spans="1:6" x14ac:dyDescent="0.25">
      <c r="A83" s="27">
        <v>70.930000000000007</v>
      </c>
      <c r="B83" s="27">
        <v>6.54</v>
      </c>
      <c r="C83" s="26">
        <f t="shared" si="4"/>
        <v>-4.8161344537815438</v>
      </c>
      <c r="D83" s="26">
        <f t="shared" si="5"/>
        <v>-2.2923529411764667</v>
      </c>
      <c r="E83" s="26">
        <f t="shared" si="6"/>
        <v>11.040279980227439</v>
      </c>
      <c r="F83" s="26">
        <f t="shared" si="7"/>
        <v>5.2548820069203979</v>
      </c>
    </row>
    <row r="84" spans="1:6" x14ac:dyDescent="0.25">
      <c r="A84" s="27">
        <v>74.3</v>
      </c>
      <c r="B84" s="27">
        <v>7.78</v>
      </c>
      <c r="C84" s="26">
        <f t="shared" si="4"/>
        <v>-1.4461344537815535</v>
      </c>
      <c r="D84" s="26">
        <f t="shared" si="5"/>
        <v>-1.0523529411764665</v>
      </c>
      <c r="E84" s="26">
        <f t="shared" si="6"/>
        <v>1.5218438457736407</v>
      </c>
      <c r="F84" s="26">
        <f t="shared" si="7"/>
        <v>1.1074467128027596</v>
      </c>
    </row>
    <row r="85" spans="1:6" x14ac:dyDescent="0.25">
      <c r="A85" s="27">
        <v>71.22</v>
      </c>
      <c r="B85" s="27">
        <v>6.53</v>
      </c>
      <c r="C85" s="26">
        <f t="shared" si="4"/>
        <v>-4.5261344537815518</v>
      </c>
      <c r="D85" s="26">
        <f t="shared" si="5"/>
        <v>-2.3023529411764665</v>
      </c>
      <c r="E85" s="26">
        <f t="shared" si="6"/>
        <v>10.420758971824096</v>
      </c>
      <c r="F85" s="26">
        <f t="shared" si="7"/>
        <v>5.3008290657439261</v>
      </c>
    </row>
    <row r="86" spans="1:6" x14ac:dyDescent="0.25">
      <c r="A86" s="27">
        <v>71.22</v>
      </c>
      <c r="B86" s="27">
        <v>6.93</v>
      </c>
      <c r="C86" s="26">
        <f t="shared" si="4"/>
        <v>-4.5261344537815518</v>
      </c>
      <c r="D86" s="26">
        <f t="shared" si="5"/>
        <v>-1.902352941176467</v>
      </c>
      <c r="E86" s="26">
        <f t="shared" si="6"/>
        <v>8.6103051903114771</v>
      </c>
      <c r="F86" s="26">
        <f t="shared" si="7"/>
        <v>3.6189467128027548</v>
      </c>
    </row>
    <row r="87" spans="1:6" x14ac:dyDescent="0.25">
      <c r="A87" s="27">
        <v>70.849999999999994</v>
      </c>
      <c r="B87" s="27">
        <v>6.31</v>
      </c>
      <c r="C87" s="26">
        <f t="shared" si="4"/>
        <v>-4.8961344537815563</v>
      </c>
      <c r="D87" s="26">
        <f t="shared" si="5"/>
        <v>-2.5223529411764671</v>
      </c>
      <c r="E87" s="26">
        <f t="shared" si="6"/>
        <v>12.349779139891345</v>
      </c>
      <c r="F87" s="26">
        <f t="shared" si="7"/>
        <v>6.362264359861574</v>
      </c>
    </row>
    <row r="88" spans="1:6" x14ac:dyDescent="0.25">
      <c r="A88" s="27">
        <v>72.36</v>
      </c>
      <c r="B88" s="27">
        <v>7.46</v>
      </c>
      <c r="C88" s="26">
        <f t="shared" si="4"/>
        <v>-3.3861344537815512</v>
      </c>
      <c r="D88" s="26">
        <f t="shared" si="5"/>
        <v>-1.3723529411764668</v>
      </c>
      <c r="E88" s="26">
        <f t="shared" si="6"/>
        <v>4.6469715768660809</v>
      </c>
      <c r="F88" s="26">
        <f t="shared" si="7"/>
        <v>1.8833525951556989</v>
      </c>
    </row>
    <row r="89" spans="1:6" x14ac:dyDescent="0.25">
      <c r="A89" s="27">
        <v>82.67</v>
      </c>
      <c r="B89" s="27">
        <v>10.91</v>
      </c>
      <c r="C89" s="26">
        <f t="shared" si="4"/>
        <v>6.9238655462184511</v>
      </c>
      <c r="D89" s="26">
        <f t="shared" si="5"/>
        <v>2.0776470588235334</v>
      </c>
      <c r="E89" s="26">
        <f t="shared" si="6"/>
        <v>14.385348887790363</v>
      </c>
      <c r="F89" s="26">
        <f t="shared" si="7"/>
        <v>4.3166173010380788</v>
      </c>
    </row>
    <row r="90" spans="1:6" x14ac:dyDescent="0.25">
      <c r="A90" s="27">
        <v>76.69</v>
      </c>
      <c r="B90" s="27">
        <v>9.1300000000000008</v>
      </c>
      <c r="C90" s="26">
        <f t="shared" si="4"/>
        <v>0.94386554621844709</v>
      </c>
      <c r="D90" s="26">
        <f t="shared" si="5"/>
        <v>0.29764705882353404</v>
      </c>
      <c r="E90" s="26">
        <f t="shared" si="6"/>
        <v>0.2809388037567892</v>
      </c>
      <c r="F90" s="26">
        <f t="shared" si="7"/>
        <v>8.8593771626300333E-2</v>
      </c>
    </row>
    <row r="91" spans="1:6" x14ac:dyDescent="0.25">
      <c r="A91" s="27">
        <v>75.67</v>
      </c>
      <c r="B91" s="27">
        <v>8.7799999999999994</v>
      </c>
      <c r="C91" s="26">
        <f t="shared" si="4"/>
        <v>-7.6134453781548928E-2</v>
      </c>
      <c r="D91" s="26">
        <f t="shared" si="5"/>
        <v>-5.2352941176467382E-2</v>
      </c>
      <c r="E91" s="26">
        <f t="shared" si="6"/>
        <v>3.9858625803279053E-3</v>
      </c>
      <c r="F91" s="26">
        <f t="shared" si="7"/>
        <v>2.7408304498266539E-3</v>
      </c>
    </row>
    <row r="92" spans="1:6" x14ac:dyDescent="0.25">
      <c r="A92" s="27">
        <v>75.239999999999995</v>
      </c>
      <c r="B92" s="27">
        <v>8.25</v>
      </c>
      <c r="C92" s="26">
        <f t="shared" si="4"/>
        <v>-0.50613445378155575</v>
      </c>
      <c r="D92" s="26">
        <f t="shared" si="5"/>
        <v>-0.58235294117646674</v>
      </c>
      <c r="E92" s="26">
        <f t="shared" si="6"/>
        <v>0.29474888779043346</v>
      </c>
      <c r="F92" s="26">
        <f t="shared" si="7"/>
        <v>0.33913494809688133</v>
      </c>
    </row>
    <row r="93" spans="1:6" x14ac:dyDescent="0.25">
      <c r="A93" s="27">
        <v>74.81</v>
      </c>
      <c r="B93" s="27">
        <v>8.1999999999999993</v>
      </c>
      <c r="C93" s="26">
        <f t="shared" si="4"/>
        <v>-0.93613445378154836</v>
      </c>
      <c r="D93" s="26">
        <f t="shared" si="5"/>
        <v>-0.63235294117646745</v>
      </c>
      <c r="E93" s="26">
        <f t="shared" si="6"/>
        <v>0.59196737518538789</v>
      </c>
      <c r="F93" s="26">
        <f t="shared" si="7"/>
        <v>0.39987024221452888</v>
      </c>
    </row>
    <row r="94" spans="1:6" x14ac:dyDescent="0.25">
      <c r="A94" s="27">
        <v>76.77</v>
      </c>
      <c r="B94" s="27">
        <v>8.69</v>
      </c>
      <c r="C94" s="26">
        <f t="shared" si="4"/>
        <v>1.0238655462184454</v>
      </c>
      <c r="D94" s="26">
        <f t="shared" si="5"/>
        <v>-0.14235294117646724</v>
      </c>
      <c r="E94" s="26">
        <f t="shared" si="6"/>
        <v>-0.14575027187344586</v>
      </c>
      <c r="F94" s="26">
        <f t="shared" si="7"/>
        <v>2.0264359861590742E-2</v>
      </c>
    </row>
    <row r="95" spans="1:6" x14ac:dyDescent="0.25">
      <c r="A95" s="27">
        <v>73.91</v>
      </c>
      <c r="B95" s="27">
        <v>7.84</v>
      </c>
      <c r="C95" s="26">
        <f t="shared" si="4"/>
        <v>-1.836134453781554</v>
      </c>
      <c r="D95" s="26">
        <f t="shared" si="5"/>
        <v>-0.99235294117646689</v>
      </c>
      <c r="E95" s="26">
        <f t="shared" si="6"/>
        <v>1.8220934256055707</v>
      </c>
      <c r="F95" s="26">
        <f t="shared" si="7"/>
        <v>0.98476435986158439</v>
      </c>
    </row>
    <row r="96" spans="1:6" x14ac:dyDescent="0.25">
      <c r="A96" s="27">
        <v>72.75</v>
      </c>
      <c r="B96" s="27">
        <v>7.59</v>
      </c>
      <c r="C96" s="26">
        <f t="shared" si="4"/>
        <v>-2.9961344537815506</v>
      </c>
      <c r="D96" s="26">
        <f t="shared" si="5"/>
        <v>-1.2423529411764669</v>
      </c>
      <c r="E96" s="26">
        <f t="shared" si="6"/>
        <v>3.7222564508156566</v>
      </c>
      <c r="F96" s="26">
        <f t="shared" si="7"/>
        <v>1.5434408304498177</v>
      </c>
    </row>
    <row r="97" spans="1:6" x14ac:dyDescent="0.25">
      <c r="A97" s="27">
        <v>72.31</v>
      </c>
      <c r="B97" s="27">
        <v>7.53</v>
      </c>
      <c r="C97" s="26">
        <f t="shared" si="4"/>
        <v>-3.4361344537815484</v>
      </c>
      <c r="D97" s="26">
        <f t="shared" si="5"/>
        <v>-1.3023529411764665</v>
      </c>
      <c r="E97" s="26">
        <f t="shared" si="6"/>
        <v>4.4750598121601906</v>
      </c>
      <c r="F97" s="26">
        <f t="shared" si="7"/>
        <v>1.6961231833909929</v>
      </c>
    </row>
    <row r="98" spans="1:6" x14ac:dyDescent="0.25">
      <c r="A98" s="27">
        <v>75.900000000000006</v>
      </c>
      <c r="B98" s="27">
        <v>8.48</v>
      </c>
      <c r="C98" s="26">
        <f t="shared" si="4"/>
        <v>0.15386554621845505</v>
      </c>
      <c r="D98" s="26">
        <f t="shared" si="5"/>
        <v>-0.35235294117646632</v>
      </c>
      <c r="E98" s="26">
        <f t="shared" si="6"/>
        <v>-5.4214977755796152E-2</v>
      </c>
      <c r="F98" s="26">
        <f t="shared" si="7"/>
        <v>0.12415259515570633</v>
      </c>
    </row>
    <row r="99" spans="1:6" x14ac:dyDescent="0.25">
      <c r="A99" s="27">
        <v>78.930000000000007</v>
      </c>
      <c r="B99" s="27">
        <v>10.029999999999999</v>
      </c>
      <c r="C99" s="26">
        <f t="shared" si="4"/>
        <v>3.1838655462184562</v>
      </c>
      <c r="D99" s="26">
        <f t="shared" si="5"/>
        <v>1.1976470588235326</v>
      </c>
      <c r="E99" s="26">
        <f t="shared" si="6"/>
        <v>3.8131472071181141</v>
      </c>
      <c r="F99" s="26">
        <f t="shared" si="7"/>
        <v>1.4343584775086582</v>
      </c>
    </row>
    <row r="100" spans="1:6" x14ac:dyDescent="0.25">
      <c r="A100" s="27">
        <v>67.33</v>
      </c>
      <c r="B100" s="27">
        <v>6.01</v>
      </c>
      <c r="C100" s="26">
        <f t="shared" si="4"/>
        <v>-8.4161344537815523</v>
      </c>
      <c r="D100" s="26">
        <f t="shared" si="5"/>
        <v>-2.822352941176467</v>
      </c>
      <c r="E100" s="26">
        <f t="shared" si="6"/>
        <v>23.753301828966961</v>
      </c>
      <c r="F100" s="26">
        <f t="shared" si="7"/>
        <v>7.9656761245674534</v>
      </c>
    </row>
    <row r="101" spans="1:6" x14ac:dyDescent="0.25">
      <c r="A101" s="27">
        <v>66.72</v>
      </c>
      <c r="B101" s="27">
        <v>5.08</v>
      </c>
      <c r="C101" s="26">
        <f t="shared" si="4"/>
        <v>-9.0261344537815518</v>
      </c>
      <c r="D101" s="26">
        <f t="shared" si="5"/>
        <v>-3.7523529411764667</v>
      </c>
      <c r="E101" s="26">
        <f t="shared" si="6"/>
        <v>33.869242165101447</v>
      </c>
      <c r="F101" s="26">
        <f t="shared" si="7"/>
        <v>14.080152595155679</v>
      </c>
    </row>
    <row r="102" spans="1:6" x14ac:dyDescent="0.25">
      <c r="A102" s="27">
        <v>70.849999999999994</v>
      </c>
      <c r="B102" s="27">
        <v>7.17</v>
      </c>
      <c r="C102" s="26">
        <f t="shared" si="4"/>
        <v>-4.8961344537815563</v>
      </c>
      <c r="D102" s="26">
        <f t="shared" si="5"/>
        <v>-1.6623529411764668</v>
      </c>
      <c r="E102" s="26">
        <f t="shared" si="6"/>
        <v>8.1391035096392041</v>
      </c>
      <c r="F102" s="26">
        <f t="shared" si="7"/>
        <v>2.7634173010380496</v>
      </c>
    </row>
    <row r="103" spans="1:6" x14ac:dyDescent="0.25">
      <c r="A103" s="27">
        <v>69.78</v>
      </c>
      <c r="B103" s="27">
        <v>6.1</v>
      </c>
      <c r="C103" s="26">
        <f t="shared" si="4"/>
        <v>-5.9661344537815495</v>
      </c>
      <c r="D103" s="26">
        <f t="shared" si="5"/>
        <v>-2.7323529411764671</v>
      </c>
      <c r="E103" s="26">
        <f t="shared" si="6"/>
        <v>16.301585022244272</v>
      </c>
      <c r="F103" s="26">
        <f t="shared" si="7"/>
        <v>7.4657525951556902</v>
      </c>
    </row>
    <row r="104" spans="1:6" x14ac:dyDescent="0.25">
      <c r="A104" s="27">
        <v>81.88</v>
      </c>
      <c r="B104" s="27">
        <v>10.92</v>
      </c>
      <c r="C104" s="26">
        <f t="shared" si="4"/>
        <v>6.1338655462184448</v>
      </c>
      <c r="D104" s="26">
        <f t="shared" si="5"/>
        <v>2.0876470588235332</v>
      </c>
      <c r="E104" s="26">
        <f t="shared" si="6"/>
        <v>12.805346366781942</v>
      </c>
      <c r="F104" s="26">
        <f t="shared" si="7"/>
        <v>4.358270242214549</v>
      </c>
    </row>
    <row r="105" spans="1:6" x14ac:dyDescent="0.25">
      <c r="A105" s="27">
        <v>81.44</v>
      </c>
      <c r="B105" s="27">
        <v>10.82</v>
      </c>
      <c r="C105" s="26">
        <f t="shared" si="4"/>
        <v>5.6938655462184471</v>
      </c>
      <c r="D105" s="26">
        <f t="shared" si="5"/>
        <v>1.9876470588235335</v>
      </c>
      <c r="E105" s="26">
        <f t="shared" si="6"/>
        <v>11.317395106277749</v>
      </c>
      <c r="F105" s="26">
        <f t="shared" si="7"/>
        <v>3.9507408304498433</v>
      </c>
    </row>
    <row r="106" spans="1:6" x14ac:dyDescent="0.25">
      <c r="A106" s="27">
        <v>84.68</v>
      </c>
      <c r="B106" s="27">
        <v>11.14</v>
      </c>
      <c r="C106" s="26">
        <f t="shared" si="4"/>
        <v>8.9338655462184562</v>
      </c>
      <c r="D106" s="26">
        <f t="shared" si="5"/>
        <v>2.3076470588235338</v>
      </c>
      <c r="E106" s="26">
        <f t="shared" si="6"/>
        <v>20.616208551655923</v>
      </c>
      <c r="F106" s="26">
        <f t="shared" si="7"/>
        <v>5.3252349480969059</v>
      </c>
    </row>
    <row r="107" spans="1:6" x14ac:dyDescent="0.25">
      <c r="A107" s="27">
        <v>77.790000000000006</v>
      </c>
      <c r="B107" s="27">
        <v>9.7200000000000006</v>
      </c>
      <c r="C107" s="26">
        <f t="shared" si="4"/>
        <v>2.0438655462184556</v>
      </c>
      <c r="D107" s="26">
        <f t="shared" si="5"/>
        <v>0.8876470588235339</v>
      </c>
      <c r="E107" s="26">
        <f t="shared" si="6"/>
        <v>1.8142312407315677</v>
      </c>
      <c r="F107" s="26">
        <f t="shared" si="7"/>
        <v>0.78791730103807023</v>
      </c>
    </row>
    <row r="108" spans="1:6" x14ac:dyDescent="0.25">
      <c r="A108" s="27">
        <v>78.900000000000006</v>
      </c>
      <c r="B108" s="27">
        <v>9.94</v>
      </c>
      <c r="C108" s="26">
        <f t="shared" si="4"/>
        <v>3.1538655462184551</v>
      </c>
      <c r="D108" s="26">
        <f t="shared" si="5"/>
        <v>1.1076470588235328</v>
      </c>
      <c r="E108" s="26">
        <f t="shared" si="6"/>
        <v>3.4933698961937463</v>
      </c>
      <c r="F108" s="26">
        <f t="shared" si="7"/>
        <v>1.2268820069204227</v>
      </c>
    </row>
    <row r="109" spans="1:6" x14ac:dyDescent="0.25">
      <c r="A109" s="27">
        <v>81.760000000000005</v>
      </c>
      <c r="B109" s="27">
        <v>11.38</v>
      </c>
      <c r="C109" s="26">
        <f t="shared" si="4"/>
        <v>6.0138655462184545</v>
      </c>
      <c r="D109" s="26">
        <f t="shared" si="5"/>
        <v>2.547647058823534</v>
      </c>
      <c r="E109" s="26">
        <f t="shared" si="6"/>
        <v>15.321206870983632</v>
      </c>
      <c r="F109" s="26">
        <f t="shared" si="7"/>
        <v>6.4905055363322033</v>
      </c>
    </row>
    <row r="110" spans="1:6" x14ac:dyDescent="0.25">
      <c r="A110" s="27">
        <v>84.51</v>
      </c>
      <c r="B110" s="27">
        <v>12.11</v>
      </c>
      <c r="C110" s="26">
        <f t="shared" si="4"/>
        <v>8.7638655462184545</v>
      </c>
      <c r="D110" s="26">
        <f t="shared" si="5"/>
        <v>3.2776470588235327</v>
      </c>
      <c r="E110" s="26">
        <f t="shared" si="6"/>
        <v>28.72485813148781</v>
      </c>
      <c r="F110" s="26">
        <f t="shared" si="7"/>
        <v>10.742970242214554</v>
      </c>
    </row>
    <row r="111" spans="1:6" x14ac:dyDescent="0.25">
      <c r="A111" s="27">
        <v>84.69</v>
      </c>
      <c r="B111" s="27">
        <v>10.89</v>
      </c>
      <c r="C111" s="26">
        <f t="shared" si="4"/>
        <v>8.9438655462184471</v>
      </c>
      <c r="D111" s="26">
        <f t="shared" si="5"/>
        <v>2.0576470588235338</v>
      </c>
      <c r="E111" s="26">
        <f t="shared" si="6"/>
        <v>18.403318635689526</v>
      </c>
      <c r="F111" s="26">
        <f t="shared" si="7"/>
        <v>4.233911418685139</v>
      </c>
    </row>
    <row r="112" spans="1:6" x14ac:dyDescent="0.25">
      <c r="A112" s="27">
        <v>79.69</v>
      </c>
      <c r="B112" s="27">
        <v>9.8699999999999992</v>
      </c>
      <c r="C112" s="26">
        <f t="shared" si="4"/>
        <v>3.9438655462184471</v>
      </c>
      <c r="D112" s="26">
        <f t="shared" si="5"/>
        <v>1.0376470588235325</v>
      </c>
      <c r="E112" s="26">
        <f t="shared" si="6"/>
        <v>4.0923404844290356</v>
      </c>
      <c r="F112" s="26">
        <f t="shared" si="7"/>
        <v>1.0767114186851274</v>
      </c>
    </row>
    <row r="113" spans="1:6" x14ac:dyDescent="0.25">
      <c r="A113" s="27">
        <v>70.88</v>
      </c>
      <c r="B113" s="27">
        <v>7.16</v>
      </c>
      <c r="C113" s="26">
        <f t="shared" si="4"/>
        <v>-4.8661344537815552</v>
      </c>
      <c r="D113" s="26">
        <f t="shared" si="5"/>
        <v>-1.6723529411764666</v>
      </c>
      <c r="E113" s="26">
        <f t="shared" si="6"/>
        <v>8.137894265941723</v>
      </c>
      <c r="F113" s="26">
        <f t="shared" si="7"/>
        <v>2.7967643598615783</v>
      </c>
    </row>
    <row r="114" spans="1:6" x14ac:dyDescent="0.25">
      <c r="A114" s="27">
        <v>68.33</v>
      </c>
      <c r="B114" s="27">
        <v>6.61</v>
      </c>
      <c r="C114" s="26">
        <f t="shared" si="4"/>
        <v>-7.4161344537815523</v>
      </c>
      <c r="D114" s="26">
        <f t="shared" si="5"/>
        <v>-2.2223529411764664</v>
      </c>
      <c r="E114" s="26">
        <f t="shared" si="6"/>
        <v>16.48126821552156</v>
      </c>
      <c r="F114" s="26">
        <f t="shared" si="7"/>
        <v>4.9388525951556908</v>
      </c>
    </row>
    <row r="115" spans="1:6" x14ac:dyDescent="0.25">
      <c r="A115" s="27">
        <v>76.19</v>
      </c>
      <c r="B115" s="27">
        <v>9.06</v>
      </c>
      <c r="C115" s="26">
        <f t="shared" si="4"/>
        <v>0.44386554621844709</v>
      </c>
      <c r="D115" s="26">
        <f t="shared" si="5"/>
        <v>0.22764705882353375</v>
      </c>
      <c r="E115" s="26">
        <f t="shared" si="6"/>
        <v>0.10104468610973076</v>
      </c>
      <c r="F115" s="26">
        <f t="shared" si="7"/>
        <v>5.1823183391005438E-2</v>
      </c>
    </row>
    <row r="116" spans="1:6" x14ac:dyDescent="0.25">
      <c r="A116" s="27">
        <v>73.28</v>
      </c>
      <c r="B116" s="27">
        <v>7.88</v>
      </c>
      <c r="C116" s="26">
        <f t="shared" si="4"/>
        <v>-2.4661344537815495</v>
      </c>
      <c r="D116" s="26">
        <f t="shared" si="5"/>
        <v>-0.95235294117646685</v>
      </c>
      <c r="E116" s="26">
        <f t="shared" si="6"/>
        <v>2.3486304003954781</v>
      </c>
      <c r="F116" s="26">
        <f t="shared" si="7"/>
        <v>0.9069761245674669</v>
      </c>
    </row>
    <row r="117" spans="1:6" x14ac:dyDescent="0.25">
      <c r="A117" s="27">
        <v>81.53</v>
      </c>
      <c r="B117" s="27">
        <v>11.14</v>
      </c>
      <c r="C117" s="26">
        <f t="shared" si="4"/>
        <v>5.7838655462184505</v>
      </c>
      <c r="D117" s="26">
        <f t="shared" si="5"/>
        <v>2.3076470588235338</v>
      </c>
      <c r="E117" s="26">
        <f t="shared" si="6"/>
        <v>13.34712031636178</v>
      </c>
      <c r="F117" s="26">
        <f t="shared" si="7"/>
        <v>5.3252349480969059</v>
      </c>
    </row>
    <row r="118" spans="1:6" x14ac:dyDescent="0.25">
      <c r="A118" s="27">
        <v>78.83</v>
      </c>
      <c r="B118" s="27">
        <v>10.39</v>
      </c>
      <c r="C118" s="26">
        <f t="shared" si="4"/>
        <v>3.0838655462184477</v>
      </c>
      <c r="D118" s="26">
        <f t="shared" si="5"/>
        <v>1.5576470588235338</v>
      </c>
      <c r="E118" s="26">
        <f t="shared" si="6"/>
        <v>4.8035740978743959</v>
      </c>
      <c r="F118" s="26">
        <f t="shared" si="7"/>
        <v>2.4262643598616056</v>
      </c>
    </row>
    <row r="119" spans="1:6" x14ac:dyDescent="0.25">
      <c r="A119" s="27">
        <v>76.900000000000006</v>
      </c>
      <c r="B119" s="27">
        <v>8.93</v>
      </c>
      <c r="C119" s="26">
        <f t="shared" si="4"/>
        <v>1.1538655462184551</v>
      </c>
      <c r="D119" s="26">
        <f t="shared" si="5"/>
        <v>9.7647058823532973E-2</v>
      </c>
      <c r="E119" s="26">
        <f t="shared" si="6"/>
        <v>0.11267157686604148</v>
      </c>
      <c r="F119" s="26">
        <f t="shared" si="7"/>
        <v>9.5349480968865089E-3</v>
      </c>
    </row>
    <row r="120" spans="1:6" x14ac:dyDescent="0.25">
      <c r="A120" s="27">
        <v>84.16</v>
      </c>
      <c r="B120" s="27">
        <v>11.86</v>
      </c>
      <c r="C120" s="26">
        <f t="shared" si="4"/>
        <v>8.413865546218446</v>
      </c>
      <c r="D120" s="26">
        <f t="shared" si="5"/>
        <v>3.0276470588235327</v>
      </c>
      <c r="E120" s="26">
        <f t="shared" si="6"/>
        <v>25.474215274344935</v>
      </c>
      <c r="F120" s="26">
        <f>D120^2</f>
        <v>9.1666467128027875</v>
      </c>
    </row>
    <row r="121" spans="1:6" x14ac:dyDescent="0.25">
      <c r="A121" s="28">
        <f>AVERAGE(A2:A120)</f>
        <v>75.746134453781551</v>
      </c>
      <c r="B121" s="28">
        <f>AVERAGE(B2:B120)</f>
        <v>8.8323529411764667</v>
      </c>
      <c r="C121" s="28"/>
      <c r="D121" s="28"/>
      <c r="E121" s="28">
        <f>SUM(E2:E120)</f>
        <v>917.66998235294102</v>
      </c>
      <c r="F121" s="28">
        <f>SUM(F2:F120)</f>
        <v>319.19214117647056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Perhitungan Dugaan Persamaan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 Pratama</cp:lastModifiedBy>
  <dcterms:modified xsi:type="dcterms:W3CDTF">2026-02-09T06:45:22Z</dcterms:modified>
</cp:coreProperties>
</file>